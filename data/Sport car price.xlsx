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9B9D\EXCELCNV\bfafdfc6-2184-4921-a764-31fcdfa08f3a\"/>
    </mc:Choice>
  </mc:AlternateContent>
  <xr:revisionPtr revIDLastSave="0" documentId="8_{5F95DA9C-DC41-4696-9D78-C327F08B34E4}" xr6:coauthVersionLast="47" xr6:coauthVersionMax="47" xr10:uidLastSave="{00000000-0000-0000-0000-000000000000}"/>
  <bookViews>
    <workbookView xWindow="-60" yWindow="-60" windowWidth="15480" windowHeight="11640" firstSheet="1" activeTab="1" xr2:uid="{3F36CF0F-D1FF-422C-BDAF-45BAF76A00B6}"/>
  </bookViews>
  <sheets>
    <sheet name="Sheet1" sheetId="2" r:id="rId1"/>
    <sheet name="in" sheetId="1" r:id="rId2"/>
  </sheets>
  <definedNames>
    <definedName name="_xlnm._FilterDatabase" localSheetId="1" hidden="1">in!$A$1:$H$1008</definedName>
  </definedNames>
  <calcPr calcId="191028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1002" i="1" a="1"/>
  <c r="I1002" i="1"/>
  <c r="I1003" i="1" a="1"/>
  <c r="I1003" i="1"/>
  <c r="I1004" i="1" a="1"/>
  <c r="I1004" i="1"/>
  <c r="I1005" i="1" a="1"/>
  <c r="I1005" i="1"/>
  <c r="I1006" i="1" a="1"/>
  <c r="I1006" i="1"/>
  <c r="I1007" i="1" a="1"/>
  <c r="I1007" i="1"/>
  <c r="I1008" i="1" a="1"/>
  <c r="I1008" i="1"/>
  <c r="I2" i="1" a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<sst xmlns="http://schemas.openxmlformats.org/spreadsheetml/2006/main" count="2143" uniqueCount="251">
  <si>
    <t>Car Make</t>
  </si>
  <si>
    <t xml:space="preserve">Count </t>
  </si>
  <si>
    <t>Min of Price (in USD)</t>
  </si>
  <si>
    <t>Max of Price (in USD)</t>
  </si>
  <si>
    <t>Average of Price (in USD)</t>
  </si>
  <si>
    <t>Average of Horsepower</t>
  </si>
  <si>
    <t>Average of Torque (lb-ft)</t>
  </si>
  <si>
    <t>Average of 0-60 MPH Time (seconds)</t>
  </si>
  <si>
    <t>Acura</t>
  </si>
  <si>
    <t>Alfa Romeo</t>
  </si>
  <si>
    <t>Alpine</t>
  </si>
  <si>
    <t>Ariel</t>
  </si>
  <si>
    <t>Aston Martin</t>
  </si>
  <si>
    <t>Audi</t>
  </si>
  <si>
    <t>Bentley</t>
  </si>
  <si>
    <t>BMW</t>
  </si>
  <si>
    <t>Bugatti</t>
  </si>
  <si>
    <t>Chevrolet</t>
  </si>
  <si>
    <t>Dodge</t>
  </si>
  <si>
    <t>Ferrari</t>
  </si>
  <si>
    <t>Ford</t>
  </si>
  <si>
    <t>Jaguar</t>
  </si>
  <si>
    <t>Kia</t>
  </si>
  <si>
    <t>Koenigsegg</t>
  </si>
  <si>
    <t>Lamborghini</t>
  </si>
  <si>
    <t>Lexus</t>
  </si>
  <si>
    <t>Lotus</t>
  </si>
  <si>
    <t>Maserati</t>
  </si>
  <si>
    <t>Mazda</t>
  </si>
  <si>
    <t>McLaren</t>
  </si>
  <si>
    <t>Mercedes-AMG</t>
  </si>
  <si>
    <t>Mercedes-Benz</t>
  </si>
  <si>
    <t>Nissan</t>
  </si>
  <si>
    <t>Pagani</t>
  </si>
  <si>
    <t>Pininfarina</t>
  </si>
  <si>
    <t>Polestar</t>
  </si>
  <si>
    <t>Porsche</t>
  </si>
  <si>
    <t>Rimac</t>
  </si>
  <si>
    <t>Rolls-Royce</t>
  </si>
  <si>
    <t>Shelby</t>
  </si>
  <si>
    <t>Subaru</t>
  </si>
  <si>
    <t>Tesla</t>
  </si>
  <si>
    <t>Toyota</t>
  </si>
  <si>
    <t>TVR</t>
  </si>
  <si>
    <t>Ultima</t>
  </si>
  <si>
    <t>W Motors</t>
  </si>
  <si>
    <t>Grand Total</t>
  </si>
  <si>
    <t>Car Model</t>
  </si>
  <si>
    <t>Year</t>
  </si>
  <si>
    <t>Engine Size (L)</t>
  </si>
  <si>
    <t>Horsepower</t>
  </si>
  <si>
    <t>Torque (lb-ft)</t>
  </si>
  <si>
    <t>0-60 MPH Time (seconds)</t>
  </si>
  <si>
    <t>Price (in USD)</t>
  </si>
  <si>
    <t>Price_tier</t>
  </si>
  <si>
    <t>Decade</t>
  </si>
  <si>
    <t>Normalized_horsepower</t>
  </si>
  <si>
    <t>Normalized_torque</t>
  </si>
  <si>
    <t>Inverted 0–60</t>
  </si>
  <si>
    <t>Final_performance_score</t>
  </si>
  <si>
    <t>Huracan</t>
  </si>
  <si>
    <t>488 GTB</t>
  </si>
  <si>
    <t>R8</t>
  </si>
  <si>
    <t>720S</t>
  </si>
  <si>
    <t>M8</t>
  </si>
  <si>
    <t>AMG GT</t>
  </si>
  <si>
    <t>Corvette</t>
  </si>
  <si>
    <t>Mustang Shelby GT500</t>
  </si>
  <si>
    <t>GT-R Nismo</t>
  </si>
  <si>
    <t>DB11</t>
  </si>
  <si>
    <t>Chiron</t>
  </si>
  <si>
    <t>Challenger SRT Hellcat</t>
  </si>
  <si>
    <t>F-Type</t>
  </si>
  <si>
    <t>Jesko</t>
  </si>
  <si>
    <t>LC 500</t>
  </si>
  <si>
    <t>Evora GT</t>
  </si>
  <si>
    <t>GranTurismo</t>
  </si>
  <si>
    <t>Boxster</t>
  </si>
  <si>
    <t>Giulia Quadrifoglio</t>
  </si>
  <si>
    <t>Atom</t>
  </si>
  <si>
    <t>Continental GT</t>
  </si>
  <si>
    <t>Artura</t>
  </si>
  <si>
    <t>SLS AMG</t>
  </si>
  <si>
    <t>Huayra</t>
  </si>
  <si>
    <t>Nevera</t>
  </si>
  <si>
    <t>Electric</t>
  </si>
  <si>
    <t>Cayman GT4</t>
  </si>
  <si>
    <t>Aventador SVJ</t>
  </si>
  <si>
    <t>SF90 Stradale</t>
  </si>
  <si>
    <t>RS7</t>
  </si>
  <si>
    <t>M4</t>
  </si>
  <si>
    <t>Camaro ZL1</t>
  </si>
  <si>
    <t>GT</t>
  </si>
  <si>
    <t>370Z Nismo</t>
  </si>
  <si>
    <t>Taycan 4S</t>
  </si>
  <si>
    <t>Electric Motor</t>
  </si>
  <si>
    <t>Urus</t>
  </si>
  <si>
    <t>Roma</t>
  </si>
  <si>
    <t>RS3</t>
  </si>
  <si>
    <t>i8</t>
  </si>
  <si>
    <t>1.5 + Electric</t>
  </si>
  <si>
    <t>CLS63 AMG</t>
  </si>
  <si>
    <t>Cayman</t>
  </si>
  <si>
    <t>570S</t>
  </si>
  <si>
    <t>AMG C63</t>
  </si>
  <si>
    <t>Camaro SS</t>
  </si>
  <si>
    <t>Mustang GT</t>
  </si>
  <si>
    <t>Vantage</t>
  </si>
  <si>
    <t>Panamera</t>
  </si>
  <si>
    <t>S5</t>
  </si>
  <si>
    <t>600LT</t>
  </si>
  <si>
    <t>M5</t>
  </si>
  <si>
    <t>RS5</t>
  </si>
  <si>
    <t>M2</t>
  </si>
  <si>
    <t>Challenger SRT Hellcat Redeye</t>
  </si>
  <si>
    <t>Aventador</t>
  </si>
  <si>
    <t>C63 AMG</t>
  </si>
  <si>
    <t>370Z</t>
  </si>
  <si>
    <t>TT RS</t>
  </si>
  <si>
    <t>Corvette Stingray</t>
  </si>
  <si>
    <t>F8 Tributo</t>
  </si>
  <si>
    <t>Mustang Mach 1</t>
  </si>
  <si>
    <t>718 Cayman</t>
  </si>
  <si>
    <t>NSX</t>
  </si>
  <si>
    <t>MX-5 Miata</t>
  </si>
  <si>
    <t>718 Cayman GT4</t>
  </si>
  <si>
    <t>Wraith</t>
  </si>
  <si>
    <t>Roadster</t>
  </si>
  <si>
    <t>1000+</t>
  </si>
  <si>
    <t>Supra</t>
  </si>
  <si>
    <t>Fenyr Supersport</t>
  </si>
  <si>
    <t>SL 63 AMG</t>
  </si>
  <si>
    <t>DBS Superleggera</t>
  </si>
  <si>
    <t>Panamera Turbo S E-Hybrid</t>
  </si>
  <si>
    <t>Portofino</t>
  </si>
  <si>
    <t>Panamera Turbo S</t>
  </si>
  <si>
    <t>Z4 M40i</t>
  </si>
  <si>
    <t>RS 3</t>
  </si>
  <si>
    <t>M2 CS</t>
  </si>
  <si>
    <t>Viper</t>
  </si>
  <si>
    <t>C_Two</t>
  </si>
  <si>
    <t>N/A</t>
  </si>
  <si>
    <t>Cobra</t>
  </si>
  <si>
    <t>Model S Plaid</t>
  </si>
  <si>
    <t>GR Supra</t>
  </si>
  <si>
    <t>Griffith</t>
  </si>
  <si>
    <t>Lykan Hypersport</t>
  </si>
  <si>
    <t>RS 6</t>
  </si>
  <si>
    <t>Taycan</t>
  </si>
  <si>
    <t>AMG C 63</t>
  </si>
  <si>
    <t>RS 6 Avant</t>
  </si>
  <si>
    <t>C 63 S Coupe</t>
  </si>
  <si>
    <t>RS 7</t>
  </si>
  <si>
    <t>Aventador S</t>
  </si>
  <si>
    <t>M2 Competition</t>
  </si>
  <si>
    <t>S63 AMG</t>
  </si>
  <si>
    <t>Taycan Turbo S</t>
  </si>
  <si>
    <t>812 Superfast</t>
  </si>
  <si>
    <t>R8 Spyder</t>
  </si>
  <si>
    <t>AMG GT R</t>
  </si>
  <si>
    <t>F-Type R</t>
  </si>
  <si>
    <t>4C</t>
  </si>
  <si>
    <t>Charger SRT Hellcat</t>
  </si>
  <si>
    <t>WRX STI</t>
  </si>
  <si>
    <t>Panamera Turbo</t>
  </si>
  <si>
    <t>RS 5 Coupe</t>
  </si>
  <si>
    <t>SLS AMG Black Series</t>
  </si>
  <si>
    <t>Huayra Roadster BC</t>
  </si>
  <si>
    <t>Battista</t>
  </si>
  <si>
    <t>Stinger</t>
  </si>
  <si>
    <t>Model S</t>
  </si>
  <si>
    <t>765LT</t>
  </si>
  <si>
    <t>Challenger Hellcat Redeye</t>
  </si>
  <si>
    <t>Evora</t>
  </si>
  <si>
    <t>-</t>
  </si>
  <si>
    <t>Challenger Hellcat</t>
  </si>
  <si>
    <t>LC</t>
  </si>
  <si>
    <t>Huayra BC</t>
  </si>
  <si>
    <t>10,000+</t>
  </si>
  <si>
    <t>1,000+</t>
  </si>
  <si>
    <t>&lt; 1.9</t>
  </si>
  <si>
    <t>A110</t>
  </si>
  <si>
    <t>C 63 S</t>
  </si>
  <si>
    <t>10000+</t>
  </si>
  <si>
    <t>Electric (tri-motor)</t>
  </si>
  <si>
    <t>RS 5</t>
  </si>
  <si>
    <t>Viper ACR</t>
  </si>
  <si>
    <t>RS7 Sportback</t>
  </si>
  <si>
    <t>M4 Competition</t>
  </si>
  <si>
    <t>Charger Hellcat</t>
  </si>
  <si>
    <t>Jesko Absolut</t>
  </si>
  <si>
    <t>Evija</t>
  </si>
  <si>
    <t>AMG GT Black Series</t>
  </si>
  <si>
    <t>600LT Spider</t>
  </si>
  <si>
    <t>Camaro SS 1LE</t>
  </si>
  <si>
    <t>Speedtail</t>
  </si>
  <si>
    <t>Sián</t>
  </si>
  <si>
    <t>SLC 43</t>
  </si>
  <si>
    <t>718 Boxster</t>
  </si>
  <si>
    <t>F8 Spider</t>
  </si>
  <si>
    <t>4C Spider</t>
  </si>
  <si>
    <t>RS5 Coupe</t>
  </si>
  <si>
    <t>C63 S Coupe</t>
  </si>
  <si>
    <t>TT RS Coupe</t>
  </si>
  <si>
    <t>M4 Coupe</t>
  </si>
  <si>
    <t>RS</t>
  </si>
  <si>
    <t>Fenyr SuperSport</t>
  </si>
  <si>
    <t>Chiron Super Sport 300+</t>
  </si>
  <si>
    <t>Senna</t>
  </si>
  <si>
    <t>RS 7 Sportback</t>
  </si>
  <si>
    <t>AMG C 63 S</t>
  </si>
  <si>
    <t>Corvette Z06</t>
  </si>
  <si>
    <t>AMG GT 63 S</t>
  </si>
  <si>
    <t>Portofino M</t>
  </si>
  <si>
    <t>SL</t>
  </si>
  <si>
    <t>Camaro</t>
  </si>
  <si>
    <t>Electric (93 kWh)</t>
  </si>
  <si>
    <t>Electric (100 kWh)</t>
  </si>
  <si>
    <t>Dawn</t>
  </si>
  <si>
    <t>Chiron Pur Sport</t>
  </si>
  <si>
    <t>Hybrid (4.0)</t>
  </si>
  <si>
    <t>GT Black Series</t>
  </si>
  <si>
    <t>400Z</t>
  </si>
  <si>
    <t>RS6</t>
  </si>
  <si>
    <t>GT 63</t>
  </si>
  <si>
    <t>918 Spyder</t>
  </si>
  <si>
    <t>Continental GT Speed</t>
  </si>
  <si>
    <t>Challenger</t>
  </si>
  <si>
    <t>Hybrid</t>
  </si>
  <si>
    <t>911 Turbo S</t>
  </si>
  <si>
    <t>M5 Competition</t>
  </si>
  <si>
    <t>RS6 Avant</t>
  </si>
  <si>
    <t>Z4 Roadster</t>
  </si>
  <si>
    <t>Camaro SS Convertible</t>
  </si>
  <si>
    <t>370Z Coupe</t>
  </si>
  <si>
    <t>GT 63 S</t>
  </si>
  <si>
    <t>570S Spider</t>
  </si>
  <si>
    <t>C 63 AMG</t>
  </si>
  <si>
    <t>Challenger R/T</t>
  </si>
  <si>
    <t>C63 S AMG</t>
  </si>
  <si>
    <t>AMG C43 Coupe</t>
  </si>
  <si>
    <t>2.0 (Electric)</t>
  </si>
  <si>
    <t>4.0 (Hybrid)</t>
  </si>
  <si>
    <t>AMG A45</t>
  </si>
  <si>
    <t>Ghost</t>
  </si>
  <si>
    <t>Charger</t>
  </si>
  <si>
    <t>Panamera GTS</t>
  </si>
  <si>
    <t>AMG GT 4-Door Coupe</t>
  </si>
  <si>
    <t>C63 S</t>
  </si>
  <si>
    <t>MC20</t>
  </si>
  <si>
    <t>Mustang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</si>
</sst>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7.406825925929" createdVersion="8" refreshedVersion="8" minRefreshableVersion="3" recordCount="1007" xr:uid="{188168D8-69CF-4246-9DA9-ECE1BED8EAAC}">
  <cacheSource type="worksheet">
    <worksheetSource ref="A1:H1008" sheet="in"/>
  </cacheSource>
  <cacheFields count="8">
    <cacheField name="Car Make" numFmtId="0">
      <sharedItems count="38">
        <s v="Porsche"/>
        <s v="Lamborghini"/>
        <s v="Ferrari"/>
        <s v="Audi"/>
        <s v="McLaren"/>
        <s v="BMW"/>
        <s v="Mercedes-Benz"/>
        <s v="Chevrolet"/>
        <s v="Ford"/>
        <s v="Nissan"/>
        <s v="Aston Martin"/>
        <s v="Bugatti"/>
        <s v="Dodge"/>
        <s v="Jaguar"/>
        <s v="Koenigsegg"/>
        <s v="Lexus"/>
        <s v="Lotus"/>
        <s v="Maserati"/>
        <s v="Alfa Romeo"/>
        <s v="Ariel"/>
        <s v="Bentley"/>
        <s v="Mercedes-AMG"/>
        <s v="Pagani"/>
        <s v="Polestar"/>
        <s v="Rimac"/>
        <s v="Acura"/>
        <s v="Mazda"/>
        <s v="Rolls-Royce"/>
        <s v="Tesla"/>
        <s v="Toyota"/>
        <s v="W Motors"/>
        <s v="Shelby"/>
        <s v="TVR"/>
        <s v="Subaru"/>
        <s v="Pininfarina"/>
        <s v="Kia"/>
        <s v="Alpine"/>
        <s v="Ultima"/>
      </sharedItems>
    </cacheField>
    <cacheField name="Car Model" numFmtId="0">
      <sharedItems containsMixedTypes="1" containsNumber="1" containsInteger="1" minValue="1" maxValue="911"/>
    </cacheField>
    <cacheField name="Year" numFmtId="0">
      <sharedItems containsSemiMixedTypes="0" containsString="0" containsNumber="1" containsInteger="1" minValue="1965" maxValue="2023"/>
    </cacheField>
    <cacheField name="Engine Size (L)" numFmtId="0">
      <sharedItems containsMixedTypes="1" containsNumber="1" minValue="0" maxValue="8.4"/>
    </cacheField>
    <cacheField name="Horsepower" numFmtId="0">
      <sharedItems containsMixedTypes="1" containsNumber="1" containsInteger="1" minValue="181" maxValue="10000"/>
    </cacheField>
    <cacheField name="Torque (lb-ft)" numFmtId="0">
      <sharedItems containsMixedTypes="1" containsNumber="1" containsInteger="1" minValue="0" maxValue="7376"/>
    </cacheField>
    <cacheField name="0-60 MPH Time (seconds)" numFmtId="0">
      <sharedItems containsMixedTypes="1" containsNumber="1" minValue="1.8" maxValue="6.5"/>
    </cacheField>
    <cacheField name="Price (in USD)" numFmtId="3">
      <sharedItems containsSemiMixedTypes="0" containsString="0" containsNumber="1" containsInteger="1" minValue="25000" maxValue="5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x v="0"/>
    <n v="911"/>
    <n v="2022"/>
    <n v="3"/>
    <n v="379"/>
    <n v="331"/>
    <n v="4"/>
    <n v="101200"/>
  </r>
  <r>
    <x v="1"/>
    <s v="Huracan"/>
    <n v="2021"/>
    <n v="5.2"/>
    <n v="630"/>
    <n v="443"/>
    <n v="2.8"/>
    <n v="274390"/>
  </r>
  <r>
    <x v="2"/>
    <s v="488 GTB"/>
    <n v="2022"/>
    <n v="3.9"/>
    <n v="661"/>
    <n v="561"/>
    <n v="3"/>
    <n v="333750"/>
  </r>
  <r>
    <x v="3"/>
    <s v="R8"/>
    <n v="2022"/>
    <n v="5.2"/>
    <n v="562"/>
    <n v="406"/>
    <n v="3.2"/>
    <n v="142700"/>
  </r>
  <r>
    <x v="4"/>
    <s v="720S"/>
    <n v="2021"/>
    <n v="4"/>
    <n v="710"/>
    <n v="568"/>
    <n v="2.7"/>
    <n v="298000"/>
  </r>
  <r>
    <x v="5"/>
    <s v="M8"/>
    <n v="2022"/>
    <n v="4.4000000000000004"/>
    <n v="617"/>
    <n v="553"/>
    <n v="3.1"/>
    <n v="130000"/>
  </r>
  <r>
    <x v="6"/>
    <s v="AMG GT"/>
    <n v="2021"/>
    <n v="4"/>
    <n v="523"/>
    <n v="494"/>
    <n v="3.8"/>
    <n v="118500"/>
  </r>
  <r>
    <x v="7"/>
    <s v="Corvette"/>
    <n v="2021"/>
    <n v="6.2"/>
    <n v="490"/>
    <n v="465"/>
    <n v="2.8"/>
    <n v="59900"/>
  </r>
  <r>
    <x v="8"/>
    <s v="Mustang Shelby GT500"/>
    <n v="2022"/>
    <n v="5.2"/>
    <n v="760"/>
    <n v="625"/>
    <n v="3.5"/>
    <n v="81000"/>
  </r>
  <r>
    <x v="9"/>
    <s v="GT-R Nismo"/>
    <n v="2021"/>
    <n v="3.8"/>
    <n v="600"/>
    <n v="481"/>
    <n v="2.5"/>
    <n v="212000"/>
  </r>
  <r>
    <x v="10"/>
    <s v="DB11"/>
    <n v="2021"/>
    <n v="5.2"/>
    <n v="630"/>
    <n v="516"/>
    <n v="3.5"/>
    <n v="201495"/>
  </r>
  <r>
    <x v="11"/>
    <s v="Chiron"/>
    <n v="2021"/>
    <n v="8"/>
    <n v="1500"/>
    <n v="1180"/>
    <n v="2.4"/>
    <n v="3000000"/>
  </r>
  <r>
    <x v="12"/>
    <s v="Challenger SRT Hellcat"/>
    <n v="2022"/>
    <n v="6.2"/>
    <n v="717"/>
    <n v="656"/>
    <n v="3.5"/>
    <n v="61000"/>
  </r>
  <r>
    <x v="13"/>
    <s v="F-Type"/>
    <n v="2022"/>
    <n v="3"/>
    <n v="296"/>
    <n v="295"/>
    <n v="5.4"/>
    <n v="70100"/>
  </r>
  <r>
    <x v="14"/>
    <s v="Jesko"/>
    <n v="2021"/>
    <n v="5"/>
    <n v="1280"/>
    <n v="1015"/>
    <n v="2.5"/>
    <n v="2800000"/>
  </r>
  <r>
    <x v="15"/>
    <s v="LC 500"/>
    <n v="2021"/>
    <n v="5"/>
    <n v="471"/>
    <n v="398"/>
    <n v="4.4000000000000004"/>
    <n v="92950"/>
  </r>
  <r>
    <x v="16"/>
    <s v="Evora GT"/>
    <n v="2021"/>
    <n v="3.5"/>
    <n v="416"/>
    <n v="317"/>
    <n v="3.8"/>
    <n v="104450"/>
  </r>
  <r>
    <x v="17"/>
    <s v="GranTurismo"/>
    <n v="2021"/>
    <n v="4.7"/>
    <n v="454"/>
    <n v="384"/>
    <n v="4.8"/>
    <n v="150000"/>
  </r>
  <r>
    <x v="0"/>
    <s v="Boxster"/>
    <n v="2021"/>
    <n v="2"/>
    <n v="300"/>
    <n v="280"/>
    <n v="4.7"/>
    <n v="62000"/>
  </r>
  <r>
    <x v="18"/>
    <s v="Giulia Quadrifoglio"/>
    <n v="2022"/>
    <n v="2.9"/>
    <n v="505"/>
    <n v="443"/>
    <n v="3.8"/>
    <n v="78000"/>
  </r>
  <r>
    <x v="19"/>
    <s v="Atom"/>
    <n v="2021"/>
    <n v="2"/>
    <n v="320"/>
    <n v="243"/>
    <n v="2.8"/>
    <n v="75000"/>
  </r>
  <r>
    <x v="20"/>
    <s v="Continental GT"/>
    <n v="2021"/>
    <n v="6"/>
    <n v="626"/>
    <n v="664"/>
    <n v="3.6"/>
    <n v="225000"/>
  </r>
  <r>
    <x v="4"/>
    <s v="Artura"/>
    <n v="2022"/>
    <n v="3"/>
    <n v="671"/>
    <n v="531"/>
    <n v="3"/>
    <n v="225000"/>
  </r>
  <r>
    <x v="21"/>
    <s v="SLS AMG"/>
    <n v="2021"/>
    <n v="6.2"/>
    <n v="622"/>
    <n v="468"/>
    <n v="3.5"/>
    <n v="248000"/>
  </r>
  <r>
    <x v="22"/>
    <s v="Huayra"/>
    <n v="2021"/>
    <n v="6"/>
    <n v="720"/>
    <n v="737"/>
    <n v="2.8"/>
    <n v="2800000"/>
  </r>
  <r>
    <x v="23"/>
    <n v="1"/>
    <n v="2021"/>
    <n v="2"/>
    <n v="600"/>
    <n v="738"/>
    <n v="4.0999999999999996"/>
    <n v="155000"/>
  </r>
  <r>
    <x v="24"/>
    <s v="Nevera"/>
    <n v="2022"/>
    <s v="Electric"/>
    <n v="1914"/>
    <n v="1696"/>
    <n v="1.85"/>
    <n v="2400000"/>
  </r>
  <r>
    <x v="0"/>
    <s v="Cayman GT4"/>
    <n v="2022"/>
    <n v="4"/>
    <n v="414"/>
    <n v="309"/>
    <n v="3.8"/>
    <n v="100200"/>
  </r>
  <r>
    <x v="1"/>
    <s v="Aventador SVJ"/>
    <n v="2021"/>
    <n v="6.5"/>
    <n v="759"/>
    <n v="531"/>
    <n v="2.8"/>
    <n v="517770"/>
  </r>
  <r>
    <x v="2"/>
    <s v="SF90 Stradale"/>
    <n v="2021"/>
    <n v="4"/>
    <n v="986"/>
    <n v="590"/>
    <n v="2.5"/>
    <n v="625000"/>
  </r>
  <r>
    <x v="3"/>
    <s v="RS7"/>
    <n v="2022"/>
    <n v="4"/>
    <n v="591"/>
    <n v="590"/>
    <n v="3.5"/>
    <n v="117000"/>
  </r>
  <r>
    <x v="4"/>
    <s v="Artura"/>
    <n v="2021"/>
    <n v="3"/>
    <n v="671"/>
    <n v="531"/>
    <n v="3"/>
    <n v="225000"/>
  </r>
  <r>
    <x v="5"/>
    <s v="M4"/>
    <n v="2022"/>
    <n v="3"/>
    <n v="503"/>
    <n v="479"/>
    <n v="3.8"/>
    <n v="72800"/>
  </r>
  <r>
    <x v="6"/>
    <s v="SLS AMG"/>
    <n v="2015"/>
    <n v="6.2"/>
    <n v="622"/>
    <n v="468"/>
    <n v="3.2"/>
    <n v="222000"/>
  </r>
  <r>
    <x v="7"/>
    <s v="Camaro ZL1"/>
    <n v="2021"/>
    <n v="6.2"/>
    <n v="650"/>
    <n v="650"/>
    <n v="3.5"/>
    <n v="64695"/>
  </r>
  <r>
    <x v="8"/>
    <s v="GT"/>
    <n v="2022"/>
    <n v="3.5"/>
    <n v="660"/>
    <n v="550"/>
    <n v="3"/>
    <n v="500000"/>
  </r>
  <r>
    <x v="9"/>
    <s v="370Z Nismo"/>
    <n v="2021"/>
    <n v="3.7"/>
    <n v="350"/>
    <n v="276"/>
    <n v="4.5"/>
    <n v="45690"/>
  </r>
  <r>
    <x v="0"/>
    <s v="Taycan 4S"/>
    <n v="2022"/>
    <s v="Electric Motor"/>
    <n v="562"/>
    <n v="479"/>
    <n v="3.8"/>
    <n v="104000"/>
  </r>
  <r>
    <x v="1"/>
    <s v="Urus"/>
    <n v="2021"/>
    <n v="4"/>
    <n v="641"/>
    <n v="626"/>
    <n v="3.5"/>
    <n v="218000"/>
  </r>
  <r>
    <x v="2"/>
    <s v="Roma"/>
    <n v="2021"/>
    <n v="3.9"/>
    <n v="611"/>
    <n v="561"/>
    <n v="3.3"/>
    <n v="222000"/>
  </r>
  <r>
    <x v="3"/>
    <s v="RS3"/>
    <n v="2022"/>
    <n v="2.5"/>
    <n v="394"/>
    <n v="369"/>
    <n v="3.9"/>
    <n v="57000"/>
  </r>
  <r>
    <x v="4"/>
    <s v="GT"/>
    <n v="2021"/>
    <n v="4"/>
    <n v="612"/>
    <n v="465"/>
    <n v="3.1"/>
    <n v="210000"/>
  </r>
  <r>
    <x v="5"/>
    <s v="i8"/>
    <n v="2020"/>
    <s v="1.5 + Electric"/>
    <n v="369"/>
    <n v="420"/>
    <n v="4.2"/>
    <n v="148500"/>
  </r>
  <r>
    <x v="6"/>
    <s v="CLS63 AMG"/>
    <n v="2019"/>
    <n v="4"/>
    <n v="603"/>
    <n v="627"/>
    <n v="3.4"/>
    <n v="132000"/>
  </r>
  <r>
    <x v="0"/>
    <s v="Cayman"/>
    <n v="2021"/>
    <n v="2"/>
    <n v="300"/>
    <n v="280"/>
    <n v="5.0999999999999996"/>
    <n v="58900"/>
  </r>
  <r>
    <x v="1"/>
    <s v="Aventador SVJ"/>
    <n v="2021"/>
    <n v="6.5"/>
    <n v="759"/>
    <n v="531"/>
    <n v="2.8"/>
    <n v="518000"/>
  </r>
  <r>
    <x v="2"/>
    <s v="SF90 Stradale"/>
    <n v="2021"/>
    <n v="4"/>
    <n v="986"/>
    <n v="590"/>
    <n v="2.5"/>
    <n v="625000"/>
  </r>
  <r>
    <x v="3"/>
    <s v="RS3"/>
    <n v="2022"/>
    <n v="2.5"/>
    <n v="394"/>
    <n v="369"/>
    <n v="3.9"/>
    <n v="56200"/>
  </r>
  <r>
    <x v="4"/>
    <s v="570S"/>
    <n v="2021"/>
    <n v="3.8"/>
    <n v="562"/>
    <n v="443"/>
    <n v="2.8"/>
    <n v="192500"/>
  </r>
  <r>
    <x v="5"/>
    <s v="M4"/>
    <n v="2022"/>
    <n v="3"/>
    <n v="503"/>
    <n v="479"/>
    <n v="3.8"/>
    <n v="71800"/>
  </r>
  <r>
    <x v="6"/>
    <s v="AMG C63"/>
    <n v="2021"/>
    <n v="4"/>
    <n v="503"/>
    <n v="516"/>
    <n v="3.8"/>
    <n v="68000"/>
  </r>
  <r>
    <x v="7"/>
    <s v="Camaro SS"/>
    <n v="2021"/>
    <n v="6.2"/>
    <n v="455"/>
    <n v="455"/>
    <n v="4.0999999999999996"/>
    <n v="42500"/>
  </r>
  <r>
    <x v="8"/>
    <s v="Mustang GT"/>
    <n v="2022"/>
    <n v="5"/>
    <n v="460"/>
    <n v="420"/>
    <n v="4.3"/>
    <n v="39000"/>
  </r>
  <r>
    <x v="9"/>
    <s v="370Z Nismo"/>
    <n v="2021"/>
    <n v="3.7"/>
    <n v="350"/>
    <n v="276"/>
    <n v="4.8"/>
    <n v="46100"/>
  </r>
  <r>
    <x v="10"/>
    <s v="Vantage"/>
    <n v="2021"/>
    <n v="4"/>
    <n v="503"/>
    <n v="505"/>
    <n v="3.5"/>
    <n v="142100"/>
  </r>
  <r>
    <x v="16"/>
    <s v="Evora GT"/>
    <n v="2021"/>
    <n v="3.5"/>
    <n v="416"/>
    <n v="317"/>
    <n v="3.8"/>
    <n v="105000"/>
  </r>
  <r>
    <x v="0"/>
    <s v="Panamera"/>
    <n v="2021"/>
    <n v="2.9"/>
    <n v="325"/>
    <n v="331"/>
    <n v="5.0999999999999996"/>
    <n v="87200"/>
  </r>
  <r>
    <x v="1"/>
    <s v="Urus"/>
    <n v="2021"/>
    <n v="4"/>
    <n v="641"/>
    <n v="627"/>
    <n v="3.2"/>
    <n v="218000"/>
  </r>
  <r>
    <x v="2"/>
    <s v="Roma"/>
    <n v="2021"/>
    <n v="3.9"/>
    <n v="612"/>
    <n v="560"/>
    <n v="3.4"/>
    <n v="222000"/>
  </r>
  <r>
    <x v="3"/>
    <s v="S5"/>
    <n v="2022"/>
    <n v="3"/>
    <n v="349"/>
    <n v="369"/>
    <n v="4.4000000000000004"/>
    <n v="52500"/>
  </r>
  <r>
    <x v="4"/>
    <s v="600LT"/>
    <n v="2021"/>
    <n v="3.8"/>
    <n v="592"/>
    <n v="457"/>
    <n v="2.8"/>
    <n v="241000"/>
  </r>
  <r>
    <x v="5"/>
    <s v="M5"/>
    <n v="2022"/>
    <n v="4.4000000000000004"/>
    <n v="600"/>
    <n v="553"/>
    <n v="3.2"/>
    <n v="103500"/>
  </r>
  <r>
    <x v="10"/>
    <s v="Vantage"/>
    <n v="2022"/>
    <n v="4"/>
    <n v="503"/>
    <n v="505"/>
    <n v="3.5"/>
    <n v="146000"/>
  </r>
  <r>
    <x v="3"/>
    <s v="RS5"/>
    <n v="2021"/>
    <n v="2.9"/>
    <n v="444"/>
    <n v="443"/>
    <n v="3.6"/>
    <n v="75400"/>
  </r>
  <r>
    <x v="5"/>
    <s v="M2"/>
    <n v="2022"/>
    <n v="3"/>
    <n v="405"/>
    <n v="406"/>
    <n v="4"/>
    <n v="58900"/>
  </r>
  <r>
    <x v="7"/>
    <s v="Camaro SS"/>
    <n v="2021"/>
    <n v="6.2"/>
    <n v="455"/>
    <n v="455"/>
    <n v="4"/>
    <n v="42900"/>
  </r>
  <r>
    <x v="12"/>
    <s v="Challenger SRT Hellcat Redeye"/>
    <n v="2022"/>
    <n v="6.2"/>
    <n v="797"/>
    <n v="707"/>
    <n v="3.4"/>
    <n v="78595"/>
  </r>
  <r>
    <x v="8"/>
    <s v="GT"/>
    <n v="2021"/>
    <n v="3.5"/>
    <n v="660"/>
    <n v="550"/>
    <n v="3"/>
    <n v="500000"/>
  </r>
  <r>
    <x v="13"/>
    <s v="F-Type"/>
    <n v="2022"/>
    <n v="2"/>
    <n v="296"/>
    <n v="295"/>
    <n v="5.4"/>
    <n v="62750"/>
  </r>
  <r>
    <x v="1"/>
    <s v="Aventador"/>
    <n v="2021"/>
    <n v="6.5"/>
    <n v="770"/>
    <n v="531"/>
    <n v="2.9"/>
    <n v="417826"/>
  </r>
  <r>
    <x v="17"/>
    <s v="GranTurismo"/>
    <n v="2021"/>
    <n v="4.7"/>
    <n v="454"/>
    <n v="384"/>
    <n v="4.7"/>
    <n v="150980"/>
  </r>
  <r>
    <x v="4"/>
    <s v="Artura"/>
    <n v="2022"/>
    <n v="3"/>
    <n v="671"/>
    <n v="531"/>
    <n v="3"/>
    <n v="225000"/>
  </r>
  <r>
    <x v="6"/>
    <s v="C63 AMG"/>
    <n v="2021"/>
    <n v="4"/>
    <n v="503"/>
    <n v="516"/>
    <n v="3.8"/>
    <n v="70100"/>
  </r>
  <r>
    <x v="9"/>
    <s v="370Z"/>
    <n v="2021"/>
    <n v="3.7"/>
    <n v="332"/>
    <n v="270"/>
    <n v="5"/>
    <n v="30090"/>
  </r>
  <r>
    <x v="0"/>
    <s v="Panamera"/>
    <n v="2022"/>
    <n v="2.9"/>
    <n v="325"/>
    <n v="331"/>
    <n v="5.3"/>
    <n v="88700"/>
  </r>
  <r>
    <x v="3"/>
    <s v="TT RS"/>
    <n v="2021"/>
    <n v="2.5"/>
    <n v="394"/>
    <n v="354"/>
    <n v="3.6"/>
    <n v="67600"/>
  </r>
  <r>
    <x v="5"/>
    <s v="M4"/>
    <n v="2022"/>
    <n v="3"/>
    <n v="473"/>
    <n v="406"/>
    <n v="4.0999999999999996"/>
    <n v="72800"/>
  </r>
  <r>
    <x v="7"/>
    <s v="Corvette Stingray"/>
    <n v="2021"/>
    <n v="6.2"/>
    <n v="490"/>
    <n v="465"/>
    <n v="2.8"/>
    <n v="59900"/>
  </r>
  <r>
    <x v="2"/>
    <s v="F8 Tributo"/>
    <n v="2021"/>
    <n v="3.9"/>
    <n v="710"/>
    <n v="568"/>
    <n v="2.8"/>
    <n v="274280"/>
  </r>
  <r>
    <x v="8"/>
    <s v="Mustang Mach 1"/>
    <n v="2021"/>
    <n v="5"/>
    <n v="480"/>
    <n v="420"/>
    <n v="4.3"/>
    <n v="52915"/>
  </r>
  <r>
    <x v="1"/>
    <s v="Urus"/>
    <n v="2021"/>
    <n v="4"/>
    <n v="641"/>
    <n v="627"/>
    <n v="3.6"/>
    <n v="218009"/>
  </r>
  <r>
    <x v="0"/>
    <s v="718 Cayman"/>
    <n v="2022"/>
    <n v="2"/>
    <n v="300"/>
    <n v="280"/>
    <n v="4.5"/>
    <n v="61000"/>
  </r>
  <r>
    <x v="25"/>
    <s v="NSX"/>
    <n v="2022"/>
    <n v="3.5"/>
    <n v="573"/>
    <n v="476"/>
    <n v="2.9"/>
    <n v="159495"/>
  </r>
  <r>
    <x v="10"/>
    <s v="Vantage"/>
    <n v="2022"/>
    <n v="4"/>
    <n v="503"/>
    <n v="505"/>
    <n v="3.5"/>
    <n v="142086"/>
  </r>
  <r>
    <x v="20"/>
    <s v="Continental GT"/>
    <n v="2021"/>
    <n v="6"/>
    <n v="626"/>
    <n v="664"/>
    <n v="3.3"/>
    <n v="219800"/>
  </r>
  <r>
    <x v="11"/>
    <s v="Chiron"/>
    <n v="2022"/>
    <n v="8"/>
    <n v="1500"/>
    <n v="1180"/>
    <n v="2.4"/>
    <n v="3000000"/>
  </r>
  <r>
    <x v="12"/>
    <s v="Challenger SRT Hellcat Redeye"/>
    <n v="2022"/>
    <n v="6.2"/>
    <n v="797"/>
    <n v="707"/>
    <n v="3.4"/>
    <n v="74290"/>
  </r>
  <r>
    <x v="13"/>
    <s v="F-Type"/>
    <n v="2022"/>
    <n v="3"/>
    <n v="380"/>
    <n v="339"/>
    <n v="4.9000000000000004"/>
    <n v="71900"/>
  </r>
  <r>
    <x v="14"/>
    <s v="Jesko"/>
    <n v="2022"/>
    <n v="5"/>
    <n v="1600"/>
    <n v="1106"/>
    <n v="2.5"/>
    <n v="3000000"/>
  </r>
  <r>
    <x v="15"/>
    <s v="LC 500"/>
    <n v="2022"/>
    <n v="5"/>
    <n v="471"/>
    <n v="398"/>
    <n v="4.4000000000000004"/>
    <n v="92950"/>
  </r>
  <r>
    <x v="16"/>
    <s v="Evora GT"/>
    <n v="2021"/>
    <n v="3.5"/>
    <n v="416"/>
    <n v="317"/>
    <n v="3.8"/>
    <n v="105000"/>
  </r>
  <r>
    <x v="17"/>
    <s v="GranTurismo"/>
    <n v="2022"/>
    <n v="4.7"/>
    <n v="454"/>
    <n v="384"/>
    <n v="4.7"/>
    <n v="134300"/>
  </r>
  <r>
    <x v="26"/>
    <s v="MX-5 Miata"/>
    <n v="2021"/>
    <n v="2"/>
    <n v="181"/>
    <n v="151"/>
    <n v="6.5"/>
    <n v="26830"/>
  </r>
  <r>
    <x v="4"/>
    <s v="GT"/>
    <n v="2022"/>
    <n v="4"/>
    <n v="620"/>
    <n v="465"/>
    <n v="3.1"/>
    <n v="213195"/>
  </r>
  <r>
    <x v="6"/>
    <s v="SLS AMG"/>
    <n v="2015"/>
    <n v="6.2"/>
    <n v="622"/>
    <n v="468"/>
    <n v="3.7"/>
    <n v="221580"/>
  </r>
  <r>
    <x v="22"/>
    <s v="Huayra"/>
    <n v="2022"/>
    <n v="6"/>
    <n v="764"/>
    <n v="738"/>
    <n v="2.8"/>
    <n v="2800000"/>
  </r>
  <r>
    <x v="0"/>
    <s v="718 Cayman GT4"/>
    <n v="2022"/>
    <n v="4"/>
    <n v="414"/>
    <n v="309"/>
    <n v="4.2"/>
    <n v="100550"/>
  </r>
  <r>
    <x v="24"/>
    <s v="Nevera"/>
    <n v="2022"/>
    <s v="Electric"/>
    <n v="1914"/>
    <n v="1696"/>
    <n v="1.95"/>
    <n v="2400000"/>
  </r>
  <r>
    <x v="27"/>
    <s v="Wraith"/>
    <n v="2021"/>
    <n v="6.8"/>
    <n v="624"/>
    <n v="605"/>
    <n v="4.4000000000000004"/>
    <n v="330000"/>
  </r>
  <r>
    <x v="28"/>
    <s v="Roadster"/>
    <n v="2022"/>
    <s v="Electric"/>
    <s v="1000+"/>
    <n v="737"/>
    <n v="1.9"/>
    <n v="200000"/>
  </r>
  <r>
    <x v="29"/>
    <s v="Supra"/>
    <n v="2022"/>
    <n v="3"/>
    <n v="382"/>
    <n v="368"/>
    <n v="3.9"/>
    <n v="43090"/>
  </r>
  <r>
    <x v="30"/>
    <s v="Fenyr Supersport"/>
    <n v="2022"/>
    <n v="3.8"/>
    <n v="800"/>
    <n v="723"/>
    <n v="2.7"/>
    <n v="1700000"/>
  </r>
  <r>
    <x v="0"/>
    <s v="718 Cayman"/>
    <n v="2022"/>
    <n v="2"/>
    <n v="300"/>
    <n v="280"/>
    <n v="4.7"/>
    <n v="60500"/>
  </r>
  <r>
    <x v="1"/>
    <s v="Aventador"/>
    <n v="2021"/>
    <n v="6.5"/>
    <n v="770"/>
    <n v="531"/>
    <n v="2.9"/>
    <n v="522000"/>
  </r>
  <r>
    <x v="2"/>
    <s v="SF90 Stradale"/>
    <n v="2021"/>
    <n v="4"/>
    <n v="986"/>
    <n v="590"/>
    <n v="2.5"/>
    <n v="625000"/>
  </r>
  <r>
    <x v="3"/>
    <s v="TT RS"/>
    <n v="2022"/>
    <n v="2.5"/>
    <n v="394"/>
    <n v="354"/>
    <n v="3.4"/>
    <n v="67000"/>
  </r>
  <r>
    <x v="4"/>
    <s v="GT"/>
    <n v="2021"/>
    <n v="4"/>
    <n v="612"/>
    <n v="465"/>
    <n v="3.1"/>
    <n v="212500"/>
  </r>
  <r>
    <x v="5"/>
    <s v="M4"/>
    <n v="2022"/>
    <n v="3"/>
    <n v="503"/>
    <n v="479"/>
    <n v="3.8"/>
    <n v="75000"/>
  </r>
  <r>
    <x v="6"/>
    <s v="SL 63 AMG"/>
    <n v="2021"/>
    <n v="4"/>
    <n v="603"/>
    <n v="664"/>
    <n v="3.5"/>
    <n v="155000"/>
  </r>
  <r>
    <x v="7"/>
    <s v="Camaro ZL1"/>
    <n v="2021"/>
    <n v="6.2"/>
    <n v="650"/>
    <n v="650"/>
    <n v="3.5"/>
    <n v="64000"/>
  </r>
  <r>
    <x v="8"/>
    <s v="GT"/>
    <n v="2022"/>
    <n v="3.5"/>
    <n v="660"/>
    <n v="550"/>
    <n v="2.8"/>
    <n v="500000"/>
  </r>
  <r>
    <x v="9"/>
    <s v="370Z"/>
    <n v="2021"/>
    <n v="3.7"/>
    <n v="332"/>
    <n v="270"/>
    <n v="4.7"/>
    <n v="31015"/>
  </r>
  <r>
    <x v="10"/>
    <s v="DBS Superleggera"/>
    <n v="2021"/>
    <n v="5.2"/>
    <n v="715"/>
    <n v="664"/>
    <n v="3.4"/>
    <n v="304995"/>
  </r>
  <r>
    <x v="11"/>
    <s v="Chiron"/>
    <n v="2021"/>
    <n v="8"/>
    <n v="1500"/>
    <n v="1180"/>
    <n v="2.4"/>
    <n v="3000000"/>
  </r>
  <r>
    <x v="16"/>
    <s v="Evora GT"/>
    <n v="2021"/>
    <n v="3.5"/>
    <n v="416"/>
    <n v="317"/>
    <n v="3.8"/>
    <n v="105000"/>
  </r>
  <r>
    <x v="4"/>
    <s v="570S"/>
    <n v="2021"/>
    <n v="3.8"/>
    <n v="562"/>
    <n v="443"/>
    <n v="3.2"/>
    <n v="192500"/>
  </r>
  <r>
    <x v="0"/>
    <s v="Panamera Turbo S E-Hybrid"/>
    <n v="2021"/>
    <n v="4"/>
    <n v="690"/>
    <n v="642"/>
    <n v="3.2"/>
    <n v="190000"/>
  </r>
  <r>
    <x v="1"/>
    <s v="Urus"/>
    <n v="2021"/>
    <n v="4"/>
    <n v="641"/>
    <n v="627"/>
    <n v="3.6"/>
    <n v="222000"/>
  </r>
  <r>
    <x v="2"/>
    <s v="Roma"/>
    <n v="2021"/>
    <n v="3.9"/>
    <n v="611"/>
    <n v="561"/>
    <n v="3.3"/>
    <n v="222000"/>
  </r>
  <r>
    <x v="3"/>
    <s v="RS7"/>
    <n v="2021"/>
    <n v="4"/>
    <n v="591"/>
    <n v="590"/>
    <n v="3.5"/>
    <n v="115000"/>
  </r>
  <r>
    <x v="5"/>
    <s v="M2"/>
    <n v="2022"/>
    <n v="3"/>
    <n v="405"/>
    <n v="406"/>
    <n v="4.2"/>
    <n v="59000"/>
  </r>
  <r>
    <x v="0"/>
    <s v="Cayman GT4"/>
    <n v="2022"/>
    <n v="4"/>
    <n v="414"/>
    <n v="309"/>
    <n v="4.2"/>
    <n v="102100"/>
  </r>
  <r>
    <x v="1"/>
    <s v="Aventador"/>
    <n v="2021"/>
    <n v="6.5"/>
    <n v="730"/>
    <n v="509"/>
    <n v="2.9"/>
    <n v="417826"/>
  </r>
  <r>
    <x v="10"/>
    <s v="DBS Superleggera"/>
    <n v="2021"/>
    <n v="5.2"/>
    <n v="715"/>
    <n v="664"/>
    <n v="3.2"/>
    <n v="304995"/>
  </r>
  <r>
    <x v="20"/>
    <s v="Continental GT"/>
    <n v="2021"/>
    <n v="6"/>
    <n v="626"/>
    <n v="664"/>
    <n v="3.6"/>
    <n v="220300"/>
  </r>
  <r>
    <x v="3"/>
    <s v="RS7"/>
    <n v="2022"/>
    <n v="4"/>
    <n v="591"/>
    <n v="590"/>
    <n v="3.5"/>
    <n v="114000"/>
  </r>
  <r>
    <x v="6"/>
    <s v="SLS AMG"/>
    <n v="2021"/>
    <n v="6.2"/>
    <n v="622"/>
    <n v="468"/>
    <n v="3.7"/>
    <n v="239100"/>
  </r>
  <r>
    <x v="4"/>
    <s v="570S"/>
    <n v="2021"/>
    <n v="3.8"/>
    <n v="562"/>
    <n v="443"/>
    <n v="3.1"/>
    <n v="192500"/>
  </r>
  <r>
    <x v="5"/>
    <s v="M2"/>
    <n v="2022"/>
    <n v="3"/>
    <n v="405"/>
    <n v="406"/>
    <n v="4"/>
    <n v="58900"/>
  </r>
  <r>
    <x v="7"/>
    <s v="Camaro ZL1"/>
    <n v="2021"/>
    <n v="6.2"/>
    <n v="650"/>
    <n v="650"/>
    <n v="3.5"/>
    <n v="62500"/>
  </r>
  <r>
    <x v="12"/>
    <s v="Challenger SRT Hellcat"/>
    <n v="2021"/>
    <n v="6.2"/>
    <n v="717"/>
    <n v="656"/>
    <n v="3.5"/>
    <n v="65290"/>
  </r>
  <r>
    <x v="2"/>
    <s v="Portofino"/>
    <n v="2021"/>
    <n v="3.9"/>
    <n v="592"/>
    <n v="560"/>
    <n v="3.5"/>
    <n v="219750"/>
  </r>
  <r>
    <x v="0"/>
    <s v="Panamera Turbo S"/>
    <n v="2022"/>
    <n v="4"/>
    <n v="620"/>
    <n v="604"/>
    <n v="2.9"/>
    <n v="187700"/>
  </r>
  <r>
    <x v="1"/>
    <s v="Urus"/>
    <n v="2021"/>
    <n v="4"/>
    <n v="641"/>
    <n v="627"/>
    <n v="3.6"/>
    <n v="222004"/>
  </r>
  <r>
    <x v="6"/>
    <s v="AMG C63"/>
    <n v="2021"/>
    <n v="4"/>
    <n v="469"/>
    <n v="479"/>
    <n v="3.8"/>
    <n v="71350"/>
  </r>
  <r>
    <x v="10"/>
    <s v="Vantage"/>
    <n v="2021"/>
    <n v="4"/>
    <n v="503"/>
    <n v="505"/>
    <n v="3.6"/>
    <n v="146000"/>
  </r>
  <r>
    <x v="3"/>
    <s v="S5"/>
    <n v="2022"/>
    <n v="3"/>
    <n v="349"/>
    <n v="369"/>
    <n v="4.4000000000000004"/>
    <n v="52500"/>
  </r>
  <r>
    <x v="0"/>
    <s v="Cayman"/>
    <n v="2022"/>
    <n v="2.5"/>
    <n v="365"/>
    <n v="309"/>
    <n v="4.5"/>
    <n v="68900"/>
  </r>
  <r>
    <x v="1"/>
    <s v="Aventador"/>
    <n v="2021"/>
    <n v="6.5"/>
    <n v="730"/>
    <n v="507"/>
    <n v="2.8"/>
    <n v="517770"/>
  </r>
  <r>
    <x v="2"/>
    <s v="F8 Tributo"/>
    <n v="2022"/>
    <n v="3.9"/>
    <n v="710"/>
    <n v="568"/>
    <n v="2.9"/>
    <n v="276550"/>
  </r>
  <r>
    <x v="3"/>
    <s v="TT RS"/>
    <n v="2021"/>
    <n v="2.5"/>
    <n v="394"/>
    <n v="354"/>
    <n v="3.6"/>
    <n v="67600"/>
  </r>
  <r>
    <x v="4"/>
    <s v="570S"/>
    <n v="2021"/>
    <n v="3.8"/>
    <n v="562"/>
    <n v="443"/>
    <n v="3.1"/>
    <n v="192500"/>
  </r>
  <r>
    <x v="5"/>
    <s v="Z4 M40i"/>
    <n v="2022"/>
    <n v="3"/>
    <n v="382"/>
    <n v="369"/>
    <n v="3.9"/>
    <n v="63700"/>
  </r>
  <r>
    <x v="6"/>
    <s v="SLS AMG"/>
    <n v="2015"/>
    <n v="6.2"/>
    <n v="622"/>
    <n v="468"/>
    <n v="3.7"/>
    <n v="221580"/>
  </r>
  <r>
    <x v="7"/>
    <s v="Camaro SS"/>
    <n v="2022"/>
    <n v="6.2"/>
    <n v="455"/>
    <n v="455"/>
    <n v="4.0999999999999996"/>
    <n v="44000"/>
  </r>
  <r>
    <x v="8"/>
    <s v="Mustang Mach 1"/>
    <n v="2021"/>
    <n v="5"/>
    <n v="480"/>
    <n v="420"/>
    <n v="4"/>
    <n v="51720"/>
  </r>
  <r>
    <x v="9"/>
    <s v="370Z Nismo"/>
    <n v="2021"/>
    <n v="3.7"/>
    <n v="350"/>
    <n v="276"/>
    <n v="4.9000000000000004"/>
    <n v="45790"/>
  </r>
  <r>
    <x v="0"/>
    <s v="Panamera"/>
    <n v="2022"/>
    <n v="2.9"/>
    <n v="325"/>
    <n v="331"/>
    <n v="5.4"/>
    <n v="88550"/>
  </r>
  <r>
    <x v="1"/>
    <s v="Urus"/>
    <n v="2021"/>
    <n v="4"/>
    <n v="641"/>
    <n v="627"/>
    <n v="3.5"/>
    <n v="218009"/>
  </r>
  <r>
    <x v="2"/>
    <s v="Roma"/>
    <n v="2021"/>
    <n v="3.9"/>
    <n v="612"/>
    <n v="561"/>
    <n v="3.3"/>
    <n v="222620"/>
  </r>
  <r>
    <x v="3"/>
    <s v="RS 3"/>
    <n v="2022"/>
    <n v="2.5"/>
    <n v="401"/>
    <n v="369"/>
    <n v="3.6"/>
    <n v="56200"/>
  </r>
  <r>
    <x v="4"/>
    <s v="GT"/>
    <n v="2021"/>
    <n v="4"/>
    <n v="612"/>
    <n v="465"/>
    <n v="3.2"/>
    <n v="200000"/>
  </r>
  <r>
    <x v="5"/>
    <s v="M2 CS"/>
    <n v="2022"/>
    <n v="3"/>
    <n v="444"/>
    <n v="406"/>
    <n v="3.8"/>
    <n v="84595"/>
  </r>
  <r>
    <x v="6"/>
    <s v="AMG C63"/>
    <n v="2021"/>
    <n v="4"/>
    <n v="503"/>
    <n v="516"/>
    <n v="3.8"/>
    <n v="77500"/>
  </r>
  <r>
    <x v="7"/>
    <s v="Camaro ZL1"/>
    <n v="2021"/>
    <n v="6.2"/>
    <n v="650"/>
    <n v="650"/>
    <n v="3.5"/>
    <n v="62500"/>
  </r>
  <r>
    <x v="25"/>
    <s v="NSX"/>
    <n v="2021"/>
    <n v="3.5"/>
    <n v="573"/>
    <n v="476"/>
    <n v="2.7"/>
    <n v="157500"/>
  </r>
  <r>
    <x v="10"/>
    <s v="DB11"/>
    <n v="2022"/>
    <n v="4"/>
    <n v="503"/>
    <n v="513"/>
    <n v="3.7"/>
    <n v="204100"/>
  </r>
  <r>
    <x v="20"/>
    <s v="Continental GT"/>
    <n v="2021"/>
    <n v="6"/>
    <n v="626"/>
    <n v="664"/>
    <n v="3.4"/>
    <n v="220300"/>
  </r>
  <r>
    <x v="11"/>
    <s v="Chiron"/>
    <n v="2021"/>
    <n v="8"/>
    <n v="1500"/>
    <n v="1180"/>
    <n v="2.4"/>
    <n v="3000000"/>
  </r>
  <r>
    <x v="12"/>
    <s v="Viper"/>
    <n v="2017"/>
    <n v="8.4"/>
    <n v="645"/>
    <n v="600"/>
    <n v="3.3"/>
    <n v="120000"/>
  </r>
  <r>
    <x v="13"/>
    <s v="F-Type"/>
    <n v="2022"/>
    <n v="3"/>
    <n v="380"/>
    <n v="339"/>
    <n v="4.9000000000000004"/>
    <n v="69900"/>
  </r>
  <r>
    <x v="14"/>
    <s v="Jesko"/>
    <n v="2022"/>
    <n v="5"/>
    <n v="1600"/>
    <n v="1106"/>
    <n v="2.5"/>
    <n v="3000000"/>
  </r>
  <r>
    <x v="15"/>
    <s v="LC 500"/>
    <n v="2022"/>
    <n v="5"/>
    <n v="471"/>
    <n v="398"/>
    <n v="4.4000000000000004"/>
    <n v="92950"/>
  </r>
  <r>
    <x v="16"/>
    <s v="Evora GT"/>
    <n v="2021"/>
    <n v="3.5"/>
    <n v="416"/>
    <n v="317"/>
    <n v="3.8"/>
    <n v="105950"/>
  </r>
  <r>
    <x v="17"/>
    <s v="GranTurismo"/>
    <n v="2020"/>
    <n v="4.7"/>
    <n v="454"/>
    <n v="384"/>
    <n v="4.8"/>
    <n v="150000"/>
  </r>
  <r>
    <x v="4"/>
    <s v="570S"/>
    <n v="2020"/>
    <n v="3.8"/>
    <n v="562"/>
    <n v="443"/>
    <n v="3.1"/>
    <n v="204550"/>
  </r>
  <r>
    <x v="22"/>
    <s v="Huayra"/>
    <n v="2020"/>
    <n v="6"/>
    <n v="720"/>
    <n v="738"/>
    <n v="3"/>
    <n v="2700000"/>
  </r>
  <r>
    <x v="0"/>
    <s v="Cayman GT4"/>
    <n v="2022"/>
    <n v="4"/>
    <n v="414"/>
    <n v="309"/>
    <n v="4.2"/>
    <n v="102900"/>
  </r>
  <r>
    <x v="24"/>
    <s v="C_Two"/>
    <n v="2022"/>
    <s v="N/A"/>
    <n v="1914"/>
    <n v="1696"/>
    <n v="1.9"/>
    <n v="2400000"/>
  </r>
  <r>
    <x v="27"/>
    <s v="Wraith"/>
    <n v="2021"/>
    <n v="6.6"/>
    <n v="624"/>
    <n v="605"/>
    <n v="4.3"/>
    <n v="330000"/>
  </r>
  <r>
    <x v="31"/>
    <s v="Cobra"/>
    <n v="1965"/>
    <n v="7"/>
    <n v="435"/>
    <n v="440"/>
    <n v="4.2"/>
    <n v="1000000"/>
  </r>
  <r>
    <x v="28"/>
    <s v="Model S Plaid"/>
    <n v="2021"/>
    <s v="N/A"/>
    <n v="1020"/>
    <n v="1050"/>
    <n v="1.98"/>
    <n v="131190"/>
  </r>
  <r>
    <x v="29"/>
    <s v="GR Supra"/>
    <n v="2022"/>
    <n v="3"/>
    <n v="382"/>
    <n v="368"/>
    <n v="3.9"/>
    <n v="43090"/>
  </r>
  <r>
    <x v="32"/>
    <s v="Griffith"/>
    <n v="2022"/>
    <n v="5"/>
    <n v="500"/>
    <n v="479"/>
    <n v="3.8"/>
    <n v="123500"/>
  </r>
  <r>
    <x v="30"/>
    <s v="Lykan Hypersport"/>
    <n v="2015"/>
    <n v="3.7"/>
    <n v="780"/>
    <n v="708"/>
    <n v="2.8"/>
    <n v="3400000"/>
  </r>
  <r>
    <x v="0"/>
    <s v="718 Cayman"/>
    <n v="2021"/>
    <n v="2"/>
    <n v="300"/>
    <n v="280"/>
    <n v="4.5"/>
    <n v="61500"/>
  </r>
  <r>
    <x v="1"/>
    <s v="Aventador SVJ"/>
    <n v="2021"/>
    <n v="6.5"/>
    <n v="770"/>
    <n v="531"/>
    <n v="2.8"/>
    <n v="518000"/>
  </r>
  <r>
    <x v="2"/>
    <s v="SF90 Stradale"/>
    <n v="2022"/>
    <n v="4"/>
    <n v="986"/>
    <n v="590"/>
    <n v="2.5"/>
    <n v="507000"/>
  </r>
  <r>
    <x v="3"/>
    <s v="RS 6"/>
    <n v="2021"/>
    <n v="4"/>
    <n v="591"/>
    <n v="590"/>
    <n v="3.5"/>
    <n v="109000"/>
  </r>
  <r>
    <x v="4"/>
    <s v="GT"/>
    <n v="2021"/>
    <n v="4"/>
    <n v="612"/>
    <n v="465"/>
    <n v="3.1"/>
    <n v="210000"/>
  </r>
  <r>
    <x v="5"/>
    <s v="M2 CS"/>
    <n v="2022"/>
    <n v="3"/>
    <n v="444"/>
    <n v="406"/>
    <n v="3.8"/>
    <n v="84595"/>
  </r>
  <r>
    <x v="6"/>
    <s v="SLS AMG"/>
    <n v="2015"/>
    <n v="6.2"/>
    <n v="622"/>
    <n v="468"/>
    <n v="3.6"/>
    <n v="228000"/>
  </r>
  <r>
    <x v="7"/>
    <s v="Camaro SS"/>
    <n v="2021"/>
    <n v="6.2"/>
    <n v="455"/>
    <n v="455"/>
    <n v="4"/>
    <n v="42000"/>
  </r>
  <r>
    <x v="8"/>
    <s v="GT"/>
    <n v="2022"/>
    <n v="3.5"/>
    <n v="660"/>
    <n v="550"/>
    <n v="2.8"/>
    <n v="500000"/>
  </r>
  <r>
    <x v="9"/>
    <s v="370Z Nismo"/>
    <n v="2021"/>
    <n v="3.7"/>
    <n v="350"/>
    <n v="276"/>
    <n v="5"/>
    <n v="45000"/>
  </r>
  <r>
    <x v="0"/>
    <s v="Taycan"/>
    <n v="2021"/>
    <s v="Electric"/>
    <n v="750"/>
    <n v="774"/>
    <n v="2.6"/>
    <n v="185000"/>
  </r>
  <r>
    <x v="1"/>
    <s v="Urus"/>
    <n v="2021"/>
    <n v="4"/>
    <n v="641"/>
    <n v="627"/>
    <n v="3.6"/>
    <n v="222004"/>
  </r>
  <r>
    <x v="2"/>
    <s v="F8 Tributo"/>
    <n v="2021"/>
    <n v="3.9"/>
    <n v="710"/>
    <n v="568"/>
    <n v="2.9"/>
    <n v="276550"/>
  </r>
  <r>
    <x v="3"/>
    <s v="RS 3"/>
    <n v="2022"/>
    <n v="2.5"/>
    <n v="401"/>
    <n v="354"/>
    <n v="3.5"/>
    <n v="56000"/>
  </r>
  <r>
    <x v="4"/>
    <s v="570S"/>
    <n v="2021"/>
    <n v="3.8"/>
    <n v="562"/>
    <n v="443"/>
    <n v="3.1"/>
    <n v="191000"/>
  </r>
  <r>
    <x v="5"/>
    <s v="M5"/>
    <n v="2022"/>
    <n v="4.4000000000000004"/>
    <n v="600"/>
    <n v="553"/>
    <n v="3.2"/>
    <n v="104000"/>
  </r>
  <r>
    <x v="6"/>
    <s v="AMG C 63"/>
    <n v="2021"/>
    <n v="4"/>
    <n v="469"/>
    <n v="479"/>
    <n v="3.9"/>
    <n v="69900"/>
  </r>
  <r>
    <x v="7"/>
    <s v="Camaro ZL1"/>
    <n v="2021"/>
    <n v="6.2"/>
    <n v="650"/>
    <n v="650"/>
    <n v="3.5"/>
    <n v="64000"/>
  </r>
  <r>
    <x v="0"/>
    <s v="Taycan"/>
    <n v="2022"/>
    <n v="2"/>
    <n v="402"/>
    <n v="254"/>
    <n v="5.0999999999999996"/>
    <n v="81250"/>
  </r>
  <r>
    <x v="1"/>
    <s v="Aventador"/>
    <n v="2021"/>
    <n v="6.5"/>
    <n v="730"/>
    <n v="509"/>
    <n v="2.9"/>
    <n v="517700"/>
  </r>
  <r>
    <x v="10"/>
    <s v="DBS Superleggera"/>
    <n v="2022"/>
    <n v="5.2"/>
    <n v="715"/>
    <n v="663"/>
    <n v="3.4"/>
    <n v="330000"/>
  </r>
  <r>
    <x v="3"/>
    <s v="RS 6 Avant"/>
    <n v="2021"/>
    <n v="4"/>
    <n v="591"/>
    <n v="590"/>
    <n v="3.5"/>
    <n v="109000"/>
  </r>
  <r>
    <x v="4"/>
    <s v="600LT"/>
    <n v="2021"/>
    <n v="3.8"/>
    <n v="592"/>
    <n v="457"/>
    <n v="2.8"/>
    <n v="242500"/>
  </r>
  <r>
    <x v="21"/>
    <s v="C 63 S Coupe"/>
    <n v="2022"/>
    <n v="4"/>
    <n v="503"/>
    <n v="516"/>
    <n v="3.7"/>
    <n v="77000"/>
  </r>
  <r>
    <x v="5"/>
    <s v="M4"/>
    <n v="2022"/>
    <n v="3"/>
    <n v="473"/>
    <n v="406"/>
    <n v="4.0999999999999996"/>
    <n v="72800"/>
  </r>
  <r>
    <x v="7"/>
    <s v="Camaro ZL1"/>
    <n v="2021"/>
    <n v="6.2"/>
    <n v="650"/>
    <n v="650"/>
    <n v="3.5"/>
    <n v="62000"/>
  </r>
  <r>
    <x v="12"/>
    <s v="Challenger SRT Hellcat Redeye"/>
    <n v="2022"/>
    <n v="6.2"/>
    <n v="797"/>
    <n v="707"/>
    <n v="3.5"/>
    <n v="76000"/>
  </r>
  <r>
    <x v="8"/>
    <s v="GT"/>
    <n v="2022"/>
    <n v="3.5"/>
    <n v="660"/>
    <n v="550"/>
    <n v="2.9"/>
    <n v="500000"/>
  </r>
  <r>
    <x v="9"/>
    <s v="370Z"/>
    <n v="2021"/>
    <n v="3.7"/>
    <n v="332"/>
    <n v="270"/>
    <n v="4.9000000000000004"/>
    <n v="30090"/>
  </r>
  <r>
    <x v="0"/>
    <s v="Panamera"/>
    <n v="2022"/>
    <n v="2.9"/>
    <n v="325"/>
    <n v="332"/>
    <n v="5.3"/>
    <n v="87200"/>
  </r>
  <r>
    <x v="1"/>
    <s v="Urus"/>
    <n v="2021"/>
    <n v="4"/>
    <n v="641"/>
    <n v="626"/>
    <n v="3.5"/>
    <n v="218000"/>
  </r>
  <r>
    <x v="11"/>
    <s v="Chiron"/>
    <n v="2021"/>
    <n v="8"/>
    <n v="1500"/>
    <n v="1180"/>
    <n v="2.2999999999999998"/>
    <n v="3000000"/>
  </r>
  <r>
    <x v="2"/>
    <s v="F8 Tributo"/>
    <n v="2021"/>
    <n v="3.9"/>
    <n v="710"/>
    <n v="568"/>
    <n v="2.9"/>
    <n v="274280"/>
  </r>
  <r>
    <x v="3"/>
    <s v="RS 7"/>
    <n v="2021"/>
    <n v="4"/>
    <n v="591"/>
    <n v="590"/>
    <n v="3.5"/>
    <n v="114000"/>
  </r>
  <r>
    <x v="4"/>
    <s v="570S"/>
    <n v="2021"/>
    <n v="3.8"/>
    <n v="562"/>
    <n v="443"/>
    <n v="3.1"/>
    <n v="191000"/>
  </r>
  <r>
    <x v="10"/>
    <s v="Vantage"/>
    <n v="2022"/>
    <n v="4"/>
    <n v="503"/>
    <n v="505"/>
    <n v="3.5"/>
    <n v="142086"/>
  </r>
  <r>
    <x v="13"/>
    <s v="F-Type"/>
    <n v="2022"/>
    <n v="5"/>
    <n v="575"/>
    <n v="516"/>
    <n v="3.5"/>
    <n v="103200"/>
  </r>
  <r>
    <x v="0"/>
    <s v="Panamera Turbo S"/>
    <n v="2021"/>
    <n v="4"/>
    <n v="620"/>
    <n v="604"/>
    <n v="2.9"/>
    <n v="177700"/>
  </r>
  <r>
    <x v="1"/>
    <s v="Aventador S"/>
    <n v="2021"/>
    <n v="6.5"/>
    <n v="729"/>
    <n v="509"/>
    <n v="2.9"/>
    <n v="417650"/>
  </r>
  <r>
    <x v="2"/>
    <s v="SF90 Stradale"/>
    <n v="2021"/>
    <n v="4"/>
    <n v="986"/>
    <n v="590"/>
    <n v="2.5"/>
    <n v="625000"/>
  </r>
  <r>
    <x v="3"/>
    <s v="RS7"/>
    <n v="2022"/>
    <n v="4"/>
    <n v="591"/>
    <n v="590"/>
    <n v="3.5"/>
    <n v="115045"/>
  </r>
  <r>
    <x v="4"/>
    <s v="600LT"/>
    <n v="2021"/>
    <n v="3.8"/>
    <n v="592"/>
    <n v="457"/>
    <n v="2.9"/>
    <n v="256500"/>
  </r>
  <r>
    <x v="5"/>
    <s v="M2 Competition"/>
    <n v="2022"/>
    <n v="3"/>
    <n v="405"/>
    <n v="406"/>
    <n v="4"/>
    <n v="59895"/>
  </r>
  <r>
    <x v="6"/>
    <s v="S63 AMG"/>
    <n v="2021"/>
    <n v="4"/>
    <n v="603"/>
    <n v="664"/>
    <n v="3.4"/>
    <n v="152500"/>
  </r>
  <r>
    <x v="7"/>
    <s v="Camaro ZL1"/>
    <n v="2021"/>
    <n v="6.2"/>
    <n v="650"/>
    <n v="650"/>
    <n v="3.5"/>
    <n v="64695"/>
  </r>
  <r>
    <x v="12"/>
    <s v="Challenger SRT Hellcat"/>
    <n v="2022"/>
    <n v="6.2"/>
    <n v="717"/>
    <n v="656"/>
    <n v="3.5"/>
    <n v="69995"/>
  </r>
  <r>
    <x v="8"/>
    <s v="GT"/>
    <n v="2022"/>
    <n v="3.5"/>
    <n v="660"/>
    <n v="550"/>
    <n v="2.9"/>
    <n v="500000"/>
  </r>
  <r>
    <x v="0"/>
    <s v="Taycan Turbo S"/>
    <n v="2021"/>
    <s v="N/A"/>
    <n v="750"/>
    <n v="774"/>
    <n v="2.6"/>
    <n v="185000"/>
  </r>
  <r>
    <x v="1"/>
    <s v="Urus"/>
    <n v="2021"/>
    <n v="4"/>
    <n v="641"/>
    <n v="627"/>
    <n v="3.2"/>
    <n v="218009"/>
  </r>
  <r>
    <x v="2"/>
    <s v="812 Superfast"/>
    <n v="2021"/>
    <n v="6.5"/>
    <n v="789"/>
    <n v="530"/>
    <n v="2.9"/>
    <n v="363730"/>
  </r>
  <r>
    <x v="3"/>
    <s v="R8 Spyder"/>
    <n v="2022"/>
    <n v="5.2"/>
    <n v="562"/>
    <n v="406"/>
    <n v="3.5"/>
    <n v="183300"/>
  </r>
  <r>
    <x v="4"/>
    <s v="GT"/>
    <n v="2021"/>
    <n v="4"/>
    <n v="612"/>
    <n v="465"/>
    <n v="3.1"/>
    <n v="210000"/>
  </r>
  <r>
    <x v="5"/>
    <s v="M4"/>
    <n v="2022"/>
    <n v="3"/>
    <n v="473"/>
    <n v="406"/>
    <n v="4.0999999999999996"/>
    <n v="73795"/>
  </r>
  <r>
    <x v="6"/>
    <s v="AMG GT R"/>
    <n v="2021"/>
    <n v="4"/>
    <n v="577"/>
    <n v="516"/>
    <n v="3.5"/>
    <n v="183000"/>
  </r>
  <r>
    <x v="7"/>
    <s v="Corvette Stingray"/>
    <n v="2021"/>
    <n v="6.2"/>
    <n v="495"/>
    <n v="470"/>
    <n v="2.9"/>
    <n v="60995"/>
  </r>
  <r>
    <x v="10"/>
    <s v="DB11"/>
    <n v="2022"/>
    <n v="5.2"/>
    <n v="630"/>
    <n v="516"/>
    <n v="3.5"/>
    <n v="207000"/>
  </r>
  <r>
    <x v="20"/>
    <s v="Continental GT"/>
    <n v="2022"/>
    <n v="6"/>
    <n v="626"/>
    <n v="664"/>
    <n v="3.5"/>
    <n v="203825"/>
  </r>
  <r>
    <x v="13"/>
    <s v="F-Type R"/>
    <n v="2021"/>
    <n v="5"/>
    <n v="575"/>
    <n v="516"/>
    <n v="3.5"/>
    <n v="103200"/>
  </r>
  <r>
    <x v="25"/>
    <s v="NSX"/>
    <n v="2022"/>
    <n v="3.5"/>
    <n v="573"/>
    <n v="476"/>
    <n v="2.7"/>
    <n v="157500"/>
  </r>
  <r>
    <x v="16"/>
    <s v="Evora GT"/>
    <n v="2021"/>
    <n v="3.5"/>
    <n v="416"/>
    <n v="317"/>
    <n v="3.7"/>
    <n v="99800"/>
  </r>
  <r>
    <x v="0"/>
    <s v="Cayman GT4"/>
    <n v="2021"/>
    <n v="4"/>
    <n v="414"/>
    <n v="309"/>
    <n v="4.2"/>
    <n v="100200"/>
  </r>
  <r>
    <x v="18"/>
    <s v="4C"/>
    <n v="2020"/>
    <n v="1.7"/>
    <n v="237"/>
    <n v="258"/>
    <n v="4.0999999999999996"/>
    <n v="67150"/>
  </r>
  <r>
    <x v="3"/>
    <s v="RS5"/>
    <n v="2022"/>
    <n v="2.9"/>
    <n v="444"/>
    <n v="443"/>
    <n v="3.7"/>
    <n v="77250"/>
  </r>
  <r>
    <x v="5"/>
    <s v="M2 Competition"/>
    <n v="2021"/>
    <n v="3"/>
    <n v="405"/>
    <n v="406"/>
    <n v="4"/>
    <n v="58900"/>
  </r>
  <r>
    <x v="7"/>
    <s v="Camaro ZL1"/>
    <n v="2021"/>
    <n v="6.2"/>
    <n v="650"/>
    <n v="650"/>
    <n v="3.5"/>
    <n v="64695"/>
  </r>
  <r>
    <x v="12"/>
    <s v="Charger SRT Hellcat"/>
    <n v="2022"/>
    <n v="6.2"/>
    <n v="717"/>
    <n v="650"/>
    <n v="3.6"/>
    <n v="71490"/>
  </r>
  <r>
    <x v="8"/>
    <s v="GT"/>
    <n v="2022"/>
    <n v="3.5"/>
    <n v="660"/>
    <n v="550"/>
    <n v="2.8"/>
    <n v="500000"/>
  </r>
  <r>
    <x v="15"/>
    <s v="LC 500"/>
    <n v="2022"/>
    <n v="5"/>
    <n v="471"/>
    <n v="398"/>
    <n v="4.4000000000000004"/>
    <n v="92950"/>
  </r>
  <r>
    <x v="17"/>
    <s v="GranTurismo"/>
    <n v="2020"/>
    <n v="4.7"/>
    <n v="454"/>
    <n v="384"/>
    <n v="4.8"/>
    <n v="150400"/>
  </r>
  <r>
    <x v="9"/>
    <s v="370Z Nismo"/>
    <n v="2021"/>
    <n v="3.7"/>
    <n v="350"/>
    <n v="276"/>
    <n v="4.5999999999999996"/>
    <n v="47820"/>
  </r>
  <r>
    <x v="27"/>
    <s v="Wraith"/>
    <n v="2022"/>
    <n v="6.8"/>
    <n v="624"/>
    <n v="605"/>
    <n v="4.4000000000000004"/>
    <n v="330000"/>
  </r>
  <r>
    <x v="33"/>
    <s v="WRX STI"/>
    <n v="2021"/>
    <n v="2.5"/>
    <n v="310"/>
    <n v="290"/>
    <n v="4.5999999999999996"/>
    <n v="38170"/>
  </r>
  <r>
    <x v="28"/>
    <s v="Model S Plaid"/>
    <n v="2022"/>
    <s v="N/A"/>
    <n v="1020"/>
    <n v="1050"/>
    <n v="1.9"/>
    <n v="131190"/>
  </r>
  <r>
    <x v="0"/>
    <s v="Cayman GT4"/>
    <n v="2021"/>
    <n v="4"/>
    <n v="414"/>
    <n v="309"/>
    <n v="4.2"/>
    <n v="102000"/>
  </r>
  <r>
    <x v="1"/>
    <s v="Aventador"/>
    <n v="2021"/>
    <n v="6.5"/>
    <n v="729"/>
    <n v="507"/>
    <n v="2.9"/>
    <n v="393695"/>
  </r>
  <r>
    <x v="2"/>
    <s v="Portofino"/>
    <n v="2022"/>
    <n v="3.9"/>
    <n v="591"/>
    <n v="413"/>
    <n v="3.3"/>
    <n v="218750"/>
  </r>
  <r>
    <x v="3"/>
    <s v="RS7"/>
    <n v="2021"/>
    <n v="4"/>
    <n v="591"/>
    <n v="590"/>
    <n v="3.5"/>
    <n v="114000"/>
  </r>
  <r>
    <x v="4"/>
    <s v="600LT"/>
    <n v="2021"/>
    <n v="3.8"/>
    <n v="592"/>
    <n v="457"/>
    <n v="2.8"/>
    <n v="256500"/>
  </r>
  <r>
    <x v="5"/>
    <s v="M2"/>
    <n v="2022"/>
    <n v="3"/>
    <n v="405"/>
    <n v="406"/>
    <n v="4"/>
    <n v="58900"/>
  </r>
  <r>
    <x v="6"/>
    <s v="AMG GT"/>
    <n v="2021"/>
    <n v="4"/>
    <n v="523"/>
    <n v="494"/>
    <n v="3.8"/>
    <n v="118500"/>
  </r>
  <r>
    <x v="7"/>
    <s v="Camaro SS"/>
    <n v="2021"/>
    <n v="6.2"/>
    <n v="455"/>
    <n v="455"/>
    <n v="4.0999999999999996"/>
    <n v="40590"/>
  </r>
  <r>
    <x v="8"/>
    <s v="Mustang Mach 1"/>
    <n v="2021"/>
    <n v="5"/>
    <n v="480"/>
    <n v="420"/>
    <n v="4"/>
    <n v="52720"/>
  </r>
  <r>
    <x v="9"/>
    <s v="370Z Nismo"/>
    <n v="2021"/>
    <n v="3.7"/>
    <n v="350"/>
    <n v="276"/>
    <n v="4.5999999999999996"/>
    <n v="45000"/>
  </r>
  <r>
    <x v="0"/>
    <s v="Panamera Turbo"/>
    <n v="2022"/>
    <n v="4"/>
    <n v="620"/>
    <n v="604"/>
    <n v="3.1"/>
    <n v="174300"/>
  </r>
  <r>
    <x v="1"/>
    <s v="Urus"/>
    <n v="2021"/>
    <n v="4"/>
    <n v="641"/>
    <n v="627"/>
    <n v="3.2"/>
    <n v="222004"/>
  </r>
  <r>
    <x v="2"/>
    <s v="SF90 Stradale"/>
    <n v="2022"/>
    <n v="4"/>
    <n v="986"/>
    <n v="590"/>
    <n v="2.5"/>
    <n v="625000"/>
  </r>
  <r>
    <x v="3"/>
    <s v="TT RS"/>
    <n v="2022"/>
    <n v="2.5"/>
    <n v="394"/>
    <n v="354"/>
    <n v="3.4"/>
    <n v="67895"/>
  </r>
  <r>
    <x v="4"/>
    <s v="GT"/>
    <n v="2021"/>
    <n v="4"/>
    <n v="612"/>
    <n v="465"/>
    <n v="3.1"/>
    <n v="210000"/>
  </r>
  <r>
    <x v="12"/>
    <s v="Challenger SRT Hellcat"/>
    <n v="2021"/>
    <n v="6.2"/>
    <n v="717"/>
    <n v="656"/>
    <n v="3.5"/>
    <n v="62290"/>
  </r>
  <r>
    <x v="10"/>
    <s v="DBS Superleggera"/>
    <n v="2021"/>
    <n v="5.2"/>
    <n v="715"/>
    <n v="663"/>
    <n v="3.2"/>
    <n v="304995"/>
  </r>
  <r>
    <x v="13"/>
    <s v="F-Type R"/>
    <n v="2021"/>
    <n v="5"/>
    <n v="575"/>
    <n v="516"/>
    <n v="3.5"/>
    <n v="103200"/>
  </r>
  <r>
    <x v="15"/>
    <s v="LC 500"/>
    <n v="2022"/>
    <n v="5"/>
    <n v="471"/>
    <n v="398"/>
    <n v="4.4000000000000004"/>
    <n v="93050"/>
  </r>
  <r>
    <x v="0"/>
    <s v="Cayman GT4"/>
    <n v="2022"/>
    <n v="4"/>
    <n v="414"/>
    <n v="309"/>
    <n v="4.2"/>
    <n v="101200"/>
  </r>
  <r>
    <x v="5"/>
    <s v="M2 Competition"/>
    <n v="2022"/>
    <n v="3"/>
    <n v="405"/>
    <n v="406"/>
    <n v="4"/>
    <n v="59895"/>
  </r>
  <r>
    <x v="3"/>
    <s v="RS 5 Coupe"/>
    <n v="2021"/>
    <n v="2.9"/>
    <n v="444"/>
    <n v="443"/>
    <n v="3.7"/>
    <n v="75100"/>
  </r>
  <r>
    <x v="7"/>
    <s v="Camaro ZL1"/>
    <n v="2021"/>
    <n v="6.2"/>
    <n v="650"/>
    <n v="650"/>
    <n v="3.5"/>
    <n v="64195"/>
  </r>
  <r>
    <x v="16"/>
    <s v="Evora GT"/>
    <n v="2022"/>
    <n v="3.5"/>
    <n v="416"/>
    <n v="317"/>
    <n v="3.8"/>
    <n v="105000"/>
  </r>
  <r>
    <x v="4"/>
    <s v="GT"/>
    <n v="2021"/>
    <n v="4"/>
    <n v="612"/>
    <n v="465"/>
    <n v="3.1"/>
    <n v="211000"/>
  </r>
  <r>
    <x v="6"/>
    <s v="SLS AMG Black Series"/>
    <n v="2014"/>
    <n v="6.2"/>
    <n v="622"/>
    <n v="468"/>
    <n v="3.5"/>
    <n v="275000"/>
  </r>
  <r>
    <x v="11"/>
    <s v="Chiron"/>
    <n v="2021"/>
    <n v="8"/>
    <n v="1500"/>
    <n v="1180"/>
    <n v="2.4"/>
    <n v="2998000"/>
  </r>
  <r>
    <x v="14"/>
    <s v="Jesko"/>
    <n v="2021"/>
    <n v="5"/>
    <n v="1280"/>
    <n v="1015"/>
    <n v="2.5"/>
    <n v="3000000"/>
  </r>
  <r>
    <x v="2"/>
    <s v="SF90 Stradale"/>
    <n v="2021"/>
    <n v="4"/>
    <n v="986"/>
    <n v="590"/>
    <n v="2.5"/>
    <n v="625000"/>
  </r>
  <r>
    <x v="1"/>
    <s v="Aventador SVJ"/>
    <n v="2020"/>
    <n v="6.5"/>
    <n v="770"/>
    <n v="531"/>
    <n v="2.8"/>
    <n v="573966"/>
  </r>
  <r>
    <x v="24"/>
    <s v="C_Two"/>
    <n v="2022"/>
    <s v="Electric"/>
    <n v="1914"/>
    <n v="1732"/>
    <n v="1.85"/>
    <n v="2400000"/>
  </r>
  <r>
    <x v="22"/>
    <s v="Huayra Roadster BC"/>
    <n v="2021"/>
    <n v="6"/>
    <n v="791"/>
    <n v="774"/>
    <n v="2.5"/>
    <n v="3500000"/>
  </r>
  <r>
    <x v="34"/>
    <s v="Battista"/>
    <n v="2022"/>
    <s v="Electric"/>
    <n v="1874"/>
    <n v="1696"/>
    <n v="1.9"/>
    <n v="2500000"/>
  </r>
  <r>
    <x v="25"/>
    <s v="NSX"/>
    <n v="2022"/>
    <n v="3.5"/>
    <n v="573"/>
    <n v="476"/>
    <n v="2.9"/>
    <n v="157500"/>
  </r>
  <r>
    <x v="10"/>
    <s v="Vantage"/>
    <n v="2021"/>
    <n v="4"/>
    <n v="503"/>
    <n v="505"/>
    <n v="3.5"/>
    <n v="146000"/>
  </r>
  <r>
    <x v="20"/>
    <s v="Continental GT"/>
    <n v="2022"/>
    <n v="4"/>
    <n v="542"/>
    <n v="568"/>
    <n v="3.9"/>
    <n v="219800"/>
  </r>
  <r>
    <x v="12"/>
    <s v="Challenger SRT Hellcat"/>
    <n v="2022"/>
    <n v="6.2"/>
    <n v="717"/>
    <n v="656"/>
    <n v="3.5"/>
    <n v="70000"/>
  </r>
  <r>
    <x v="13"/>
    <s v="F-Type"/>
    <n v="2022"/>
    <n v="2"/>
    <n v="296"/>
    <n v="295"/>
    <n v="5.4"/>
    <n v="61600"/>
  </r>
  <r>
    <x v="35"/>
    <s v="Stinger"/>
    <n v="2022"/>
    <n v="3.3"/>
    <n v="368"/>
    <n v="376"/>
    <n v="4.7"/>
    <n v="52200"/>
  </r>
  <r>
    <x v="16"/>
    <s v="Evora GT"/>
    <n v="2021"/>
    <n v="3.5"/>
    <n v="416"/>
    <n v="317"/>
    <n v="3.8"/>
    <n v="100450"/>
  </r>
  <r>
    <x v="17"/>
    <s v="GranTurismo"/>
    <n v="2021"/>
    <n v="4.7"/>
    <n v="454"/>
    <n v="384"/>
    <n v="4.8"/>
    <n v="134300"/>
  </r>
  <r>
    <x v="0"/>
    <s v="718 Cayman GT4"/>
    <n v="2022"/>
    <n v="4"/>
    <n v="414"/>
    <n v="309"/>
    <n v="4.2"/>
    <n v="102550"/>
  </r>
  <r>
    <x v="18"/>
    <s v="Giulia Quadrifoglio"/>
    <n v="2021"/>
    <n v="2.9"/>
    <n v="505"/>
    <n v="443"/>
    <n v="3.8"/>
    <n v="76400"/>
  </r>
  <r>
    <x v="3"/>
    <s v="RS7"/>
    <n v="2021"/>
    <n v="4"/>
    <n v="591"/>
    <n v="590"/>
    <n v="3.5"/>
    <n v="114000"/>
  </r>
  <r>
    <x v="5"/>
    <s v="M5"/>
    <n v="2022"/>
    <n v="4.4000000000000004"/>
    <n v="600"/>
    <n v="553"/>
    <n v="3.2"/>
    <n v="103500"/>
  </r>
  <r>
    <x v="7"/>
    <s v="Camaro ZL1"/>
    <n v="2022"/>
    <n v="6.2"/>
    <n v="650"/>
    <n v="650"/>
    <n v="3.5"/>
    <n v="69000"/>
  </r>
  <r>
    <x v="8"/>
    <s v="GT"/>
    <n v="2022"/>
    <n v="3.5"/>
    <n v="660"/>
    <n v="550"/>
    <n v="3"/>
    <n v="500000"/>
  </r>
  <r>
    <x v="1"/>
    <s v="Aventador"/>
    <n v="2021"/>
    <n v="6.5"/>
    <n v="770"/>
    <n v="531"/>
    <n v="2.8"/>
    <n v="417826"/>
  </r>
  <r>
    <x v="4"/>
    <s v="Artura"/>
    <n v="2021"/>
    <n v="3"/>
    <n v="671"/>
    <n v="531"/>
    <n v="3"/>
    <n v="225000"/>
  </r>
  <r>
    <x v="6"/>
    <s v="SLS AMG"/>
    <n v="2021"/>
    <n v="4"/>
    <n v="577"/>
    <n v="516"/>
    <n v="3.6"/>
    <n v="247500"/>
  </r>
  <r>
    <x v="9"/>
    <s v="370Z Nismo"/>
    <n v="2021"/>
    <n v="3.7"/>
    <n v="350"/>
    <n v="276"/>
    <n v="4.8"/>
    <n v="45790"/>
  </r>
  <r>
    <x v="0"/>
    <s v="Taycan"/>
    <n v="2022"/>
    <s v="Electric"/>
    <n v="616"/>
    <n v="774"/>
    <n v="2.6"/>
    <n v="79900"/>
  </r>
  <r>
    <x v="28"/>
    <s v="Model S"/>
    <n v="2022"/>
    <s v="Electric"/>
    <n v="1020"/>
    <n v="1050"/>
    <n v="1.98"/>
    <n v="119000"/>
  </r>
  <r>
    <x v="10"/>
    <s v="DBS Superleggera"/>
    <n v="2022"/>
    <n v="5.2"/>
    <n v="715"/>
    <n v="664"/>
    <n v="3.2"/>
    <n v="307820"/>
  </r>
  <r>
    <x v="20"/>
    <s v="Continental GT"/>
    <n v="2022"/>
    <n v="4"/>
    <n v="542"/>
    <n v="568"/>
    <n v="3.4"/>
    <n v="207825"/>
  </r>
  <r>
    <x v="11"/>
    <s v="Chiron"/>
    <n v="2021"/>
    <n v="8"/>
    <n v="1479"/>
    <n v="1180"/>
    <n v="2.2999999999999998"/>
    <n v="2998000"/>
  </r>
  <r>
    <x v="4"/>
    <s v="570S"/>
    <n v="2021"/>
    <n v="3.8"/>
    <n v="562"/>
    <n v="443"/>
    <n v="3.1"/>
    <n v="202500"/>
  </r>
  <r>
    <x v="0"/>
    <s v="Taycan Turbo S"/>
    <n v="2021"/>
    <s v="Electric"/>
    <n v="750"/>
    <n v="774"/>
    <n v="2.6"/>
    <n v="185000"/>
  </r>
  <r>
    <x v="1"/>
    <s v="Aventador S"/>
    <n v="2021"/>
    <n v="6.5"/>
    <n v="730"/>
    <n v="509"/>
    <n v="2.9"/>
    <n v="417826"/>
  </r>
  <r>
    <x v="2"/>
    <s v="F8 Tributo"/>
    <n v="2022"/>
    <n v="3.9"/>
    <n v="710"/>
    <n v="568"/>
    <n v="2.8"/>
    <n v="276550"/>
  </r>
  <r>
    <x v="3"/>
    <s v="RS 7"/>
    <n v="2022"/>
    <n v="4"/>
    <n v="591"/>
    <n v="590"/>
    <n v="3.5"/>
    <n v="114000"/>
  </r>
  <r>
    <x v="5"/>
    <s v="M2 CS"/>
    <n v="2022"/>
    <n v="3"/>
    <n v="444"/>
    <n v="406"/>
    <n v="4"/>
    <n v="84595"/>
  </r>
  <r>
    <x v="6"/>
    <s v="SLS AMG"/>
    <n v="2021"/>
    <n v="6.2"/>
    <n v="622"/>
    <n v="468"/>
    <n v="3.2"/>
    <n v="275000"/>
  </r>
  <r>
    <x v="7"/>
    <s v="Camaro ZL1"/>
    <n v="2021"/>
    <n v="6.2"/>
    <n v="650"/>
    <n v="650"/>
    <n v="3.5"/>
    <n v="63000"/>
  </r>
  <r>
    <x v="8"/>
    <s v="GT"/>
    <n v="2022"/>
    <n v="3.5"/>
    <n v="660"/>
    <n v="550"/>
    <n v="3"/>
    <n v="500000"/>
  </r>
  <r>
    <x v="13"/>
    <s v="F-Type"/>
    <n v="2021"/>
    <n v="5"/>
    <n v="575"/>
    <n v="516"/>
    <n v="3.5"/>
    <n v="103200"/>
  </r>
  <r>
    <x v="16"/>
    <s v="Evora GT"/>
    <n v="2021"/>
    <n v="3.5"/>
    <n v="416"/>
    <n v="317"/>
    <n v="3.8"/>
    <n v="96950"/>
  </r>
  <r>
    <x v="17"/>
    <s v="GranTurismo"/>
    <n v="2022"/>
    <n v="4.7"/>
    <n v="454"/>
    <n v="384"/>
    <n v="4.8"/>
    <n v="134300"/>
  </r>
  <r>
    <x v="4"/>
    <s v="765LT"/>
    <n v="2021"/>
    <n v="4"/>
    <n v="755"/>
    <n v="590"/>
    <n v="2.8"/>
    <n v="358000"/>
  </r>
  <r>
    <x v="9"/>
    <s v="370Z"/>
    <n v="2021"/>
    <n v="3.7"/>
    <n v="332"/>
    <n v="270"/>
    <n v="5"/>
    <n v="30000"/>
  </r>
  <r>
    <x v="22"/>
    <s v="Huayra"/>
    <n v="2021"/>
    <n v="6"/>
    <n v="730"/>
    <n v="738"/>
    <n v="3"/>
    <n v="2600000"/>
  </r>
  <r>
    <x v="0"/>
    <s v="Panamera Turbo S"/>
    <n v="2021"/>
    <n v="4"/>
    <n v="620"/>
    <n v="604"/>
    <n v="2.9"/>
    <n v="180000"/>
  </r>
  <r>
    <x v="28"/>
    <s v="Model S Plaid"/>
    <n v="2021"/>
    <s v="Electric"/>
    <n v="1020"/>
    <n v="1050"/>
    <n v="1.9"/>
    <n v="131100"/>
  </r>
  <r>
    <x v="10"/>
    <s v="DB11"/>
    <n v="2021"/>
    <n v="4"/>
    <n v="503"/>
    <n v="513"/>
    <n v="4"/>
    <n v="201495"/>
  </r>
  <r>
    <x v="12"/>
    <s v="Challenger Hellcat Redeye"/>
    <n v="2022"/>
    <n v="6.2"/>
    <n v="797"/>
    <n v="707"/>
    <n v="3.4"/>
    <n v="82190"/>
  </r>
  <r>
    <x v="16"/>
    <s v="Evora"/>
    <n v="2021"/>
    <n v="3.5"/>
    <n v="416"/>
    <n v="317"/>
    <n v="3.8"/>
    <n v="96950"/>
  </r>
  <r>
    <x v="25"/>
    <s v="NSX"/>
    <n v="2021"/>
    <n v="3.5"/>
    <n v="573"/>
    <n v="476"/>
    <n v="2.7"/>
    <n v="159495"/>
  </r>
  <r>
    <x v="18"/>
    <s v="Giulia Quadrifoglio"/>
    <n v="2021"/>
    <n v="2.9"/>
    <n v="505"/>
    <n v="443"/>
    <n v="3.8"/>
    <n v="76950"/>
  </r>
  <r>
    <x v="20"/>
    <s v="Continental GT"/>
    <n v="2021"/>
    <n v="6"/>
    <n v="626"/>
    <n v="664"/>
    <n v="3.3"/>
    <n v="202500"/>
  </r>
  <r>
    <x v="13"/>
    <s v="F-Type"/>
    <n v="2022"/>
    <n v="3"/>
    <n v="380"/>
    <n v="339"/>
    <n v="4.9000000000000004"/>
    <n v="70100"/>
  </r>
  <r>
    <x v="14"/>
    <s v="Jesko"/>
    <n v="2022"/>
    <n v="5"/>
    <n v="1280"/>
    <n v="1015"/>
    <n v="2.5"/>
    <n v="3000000"/>
  </r>
  <r>
    <x v="15"/>
    <s v="LC 500"/>
    <n v="2021"/>
    <n v="5"/>
    <n v="471"/>
    <n v="398"/>
    <n v="4.4000000000000004"/>
    <n v="92950"/>
  </r>
  <r>
    <x v="17"/>
    <s v="GranTurismo"/>
    <n v="2022"/>
    <n v="4.7"/>
    <n v="454"/>
    <n v="384"/>
    <n v="4.8"/>
    <n v="132795"/>
  </r>
  <r>
    <x v="4"/>
    <s v="GT"/>
    <n v="2022"/>
    <n v="4"/>
    <n v="612"/>
    <n v="465"/>
    <n v="3.1"/>
    <n v="215500"/>
  </r>
  <r>
    <x v="21"/>
    <s v="C 63 S Coupe"/>
    <n v="2022"/>
    <n v="4"/>
    <n v="503"/>
    <n v="516"/>
    <n v="3.7"/>
    <n v="80900"/>
  </r>
  <r>
    <x v="0"/>
    <s v="718 Cayman"/>
    <n v="2021"/>
    <n v="2"/>
    <n v="300"/>
    <n v="280"/>
    <n v="4.9000000000000004"/>
    <n v="59900"/>
  </r>
  <r>
    <x v="27"/>
    <s v="Wraith"/>
    <n v="2021"/>
    <n v="6.8"/>
    <n v="624"/>
    <n v="605"/>
    <n v="4.3"/>
    <n v="330000"/>
  </r>
  <r>
    <x v="28"/>
    <s v="Roadster"/>
    <n v="2022"/>
    <s v="-"/>
    <s v="1000+"/>
    <s v="-"/>
    <n v="1.9"/>
    <n v="200000"/>
  </r>
  <r>
    <x v="7"/>
    <s v="Camaro SS"/>
    <n v="2021"/>
    <n v="6.2"/>
    <n v="455"/>
    <n v="455"/>
    <n v="4"/>
    <n v="40000"/>
  </r>
  <r>
    <x v="8"/>
    <s v="GT"/>
    <n v="2022"/>
    <n v="3.5"/>
    <n v="660"/>
    <n v="550"/>
    <n v="3"/>
    <n v="500000"/>
  </r>
  <r>
    <x v="25"/>
    <s v="NSX"/>
    <n v="2022"/>
    <n v="3.5"/>
    <n v="573"/>
    <n v="476"/>
    <n v="2.7"/>
    <n v="157500"/>
  </r>
  <r>
    <x v="10"/>
    <s v="DB11"/>
    <n v="2021"/>
    <n v="5.2"/>
    <n v="630"/>
    <n v="516"/>
    <n v="3.7"/>
    <n v="209000"/>
  </r>
  <r>
    <x v="20"/>
    <s v="Continental GT"/>
    <n v="2022"/>
    <n v="4"/>
    <n v="542"/>
    <n v="568"/>
    <n v="3.9"/>
    <n v="202500"/>
  </r>
  <r>
    <x v="11"/>
    <s v="Chiron"/>
    <n v="2021"/>
    <n v="8"/>
    <n v="1500"/>
    <n v="1180"/>
    <n v="2.4"/>
    <n v="3000000"/>
  </r>
  <r>
    <x v="12"/>
    <s v="Challenger Hellcat"/>
    <n v="2022"/>
    <n v="6.2"/>
    <n v="717"/>
    <n v="656"/>
    <n v="3.5"/>
    <n v="67500"/>
  </r>
  <r>
    <x v="13"/>
    <s v="F-Type"/>
    <n v="2021"/>
    <n v="5"/>
    <n v="575"/>
    <n v="516"/>
    <n v="3.5"/>
    <n v="103200"/>
  </r>
  <r>
    <x v="14"/>
    <s v="Jesko"/>
    <n v="2022"/>
    <n v="5"/>
    <n v="1280"/>
    <n v="1106"/>
    <n v="2.5"/>
    <n v="2800000"/>
  </r>
  <r>
    <x v="15"/>
    <s v="LC"/>
    <n v="2021"/>
    <n v="5"/>
    <n v="471"/>
    <n v="398"/>
    <n v="4.4000000000000004"/>
    <n v="92950"/>
  </r>
  <r>
    <x v="16"/>
    <s v="Evora GT"/>
    <n v="2021"/>
    <n v="3.5"/>
    <n v="416"/>
    <n v="317"/>
    <n v="3.8"/>
    <n v="104200"/>
  </r>
  <r>
    <x v="17"/>
    <s v="GranTurismo"/>
    <n v="2021"/>
    <n v="4.7"/>
    <n v="454"/>
    <n v="384"/>
    <n v="4.7"/>
    <n v="133050"/>
  </r>
  <r>
    <x v="4"/>
    <s v="570S"/>
    <n v="2021"/>
    <n v="3.8"/>
    <n v="562"/>
    <n v="443"/>
    <n v="3.1"/>
    <n v="196350"/>
  </r>
  <r>
    <x v="6"/>
    <s v="AMG C63"/>
    <n v="2022"/>
    <n v="4"/>
    <n v="503"/>
    <n v="516"/>
    <n v="3.8"/>
    <n v="69900"/>
  </r>
  <r>
    <x v="22"/>
    <s v="Huayra BC"/>
    <n v="2021"/>
    <n v="6"/>
    <n v="791"/>
    <n v="774"/>
    <n v="2.7"/>
    <n v="2600000"/>
  </r>
  <r>
    <x v="0"/>
    <s v="Cayman GT4"/>
    <n v="2022"/>
    <n v="4"/>
    <n v="414"/>
    <n v="309"/>
    <n v="4.2"/>
    <n v="102900"/>
  </r>
  <r>
    <x v="24"/>
    <s v="Nevera"/>
    <n v="2022"/>
    <s v="Electric"/>
    <n v="1914"/>
    <n v="1696"/>
    <n v="1.85"/>
    <n v="2400000"/>
  </r>
  <r>
    <x v="27"/>
    <s v="Wraith"/>
    <n v="2021"/>
    <n v="6.7"/>
    <n v="624"/>
    <n v="605"/>
    <n v="4.4000000000000004"/>
    <n v="338000"/>
  </r>
  <r>
    <x v="28"/>
    <s v="Roadster"/>
    <n v="2022"/>
    <s v="Electric"/>
    <s v="1000+"/>
    <s v="10,000+"/>
    <n v="1.9"/>
    <n v="200000"/>
  </r>
  <r>
    <x v="25"/>
    <s v="NSX"/>
    <n v="2022"/>
    <n v="3.5"/>
    <n v="573"/>
    <n v="476"/>
    <n v="2.7"/>
    <n v="157500"/>
  </r>
  <r>
    <x v="10"/>
    <s v="Vantage"/>
    <n v="2021"/>
    <n v="4"/>
    <n v="503"/>
    <n v="505"/>
    <n v="3.5"/>
    <n v="150000"/>
  </r>
  <r>
    <x v="20"/>
    <s v="Continental GT"/>
    <n v="2021"/>
    <n v="6"/>
    <n v="626"/>
    <n v="664"/>
    <n v="3.6"/>
    <n v="218400"/>
  </r>
  <r>
    <x v="12"/>
    <s v="Challenger SRT Hellcat Redeye"/>
    <n v="2021"/>
    <n v="6.2"/>
    <n v="797"/>
    <n v="707"/>
    <n v="3.5"/>
    <n v="73000"/>
  </r>
  <r>
    <x v="13"/>
    <s v="F-Type R"/>
    <n v="2022"/>
    <n v="5"/>
    <n v="575"/>
    <n v="516"/>
    <n v="3.5"/>
    <n v="103200"/>
  </r>
  <r>
    <x v="15"/>
    <s v="LC 500"/>
    <n v="2021"/>
    <n v="5"/>
    <n v="471"/>
    <n v="398"/>
    <n v="4.4000000000000004"/>
    <n v="92950"/>
  </r>
  <r>
    <x v="16"/>
    <s v="Evora GT"/>
    <n v="2021"/>
    <n v="3.5"/>
    <n v="416"/>
    <n v="317"/>
    <n v="3.8"/>
    <n v="104970"/>
  </r>
  <r>
    <x v="17"/>
    <s v="GranTurismo"/>
    <n v="2021"/>
    <n v="4.7"/>
    <n v="454"/>
    <n v="384"/>
    <n v="4.8"/>
    <n v="132400"/>
  </r>
  <r>
    <x v="0"/>
    <s v="Cayman GT4"/>
    <n v="2021"/>
    <n v="4"/>
    <n v="414"/>
    <n v="309"/>
    <n v="4.2"/>
    <n v="101200"/>
  </r>
  <r>
    <x v="28"/>
    <s v="Roadster"/>
    <n v="2023"/>
    <s v="Electric"/>
    <s v="1,000+"/>
    <n v="737"/>
    <s v="&lt; 1.9"/>
    <n v="200000"/>
  </r>
  <r>
    <x v="36"/>
    <s v="A110"/>
    <n v="2021"/>
    <n v="1.8"/>
    <n v="288"/>
    <n v="236"/>
    <n v="4.4000000000000004"/>
    <n v="71500"/>
  </r>
  <r>
    <x v="3"/>
    <s v="RS7"/>
    <n v="2021"/>
    <n v="4"/>
    <n v="591"/>
    <n v="590"/>
    <n v="3.5"/>
    <n v="114000"/>
  </r>
  <r>
    <x v="5"/>
    <s v="M4"/>
    <n v="2021"/>
    <n v="3"/>
    <n v="473"/>
    <n v="406"/>
    <n v="4.0999999999999996"/>
    <n v="71800"/>
  </r>
  <r>
    <x v="7"/>
    <s v="Camaro ZL1"/>
    <n v="2021"/>
    <n v="6.2"/>
    <n v="650"/>
    <n v="650"/>
    <n v="3.5"/>
    <n v="64195"/>
  </r>
  <r>
    <x v="12"/>
    <s v="Viper"/>
    <n v="2017"/>
    <n v="8.4"/>
    <n v="645"/>
    <n v="600"/>
    <n v="3.3"/>
    <n v="118795"/>
  </r>
  <r>
    <x v="2"/>
    <s v="Portofino"/>
    <n v="2021"/>
    <n v="3.9"/>
    <n v="591"/>
    <n v="560"/>
    <n v="3.5"/>
    <n v="218750"/>
  </r>
  <r>
    <x v="13"/>
    <s v="F-Type"/>
    <n v="2022"/>
    <n v="3"/>
    <n v="296"/>
    <n v="295"/>
    <n v="5.4"/>
    <n v="61600"/>
  </r>
  <r>
    <x v="1"/>
    <s v="Aventador SVJ"/>
    <n v="2021"/>
    <n v="6.5"/>
    <n v="770"/>
    <n v="531"/>
    <n v="2.8"/>
    <n v="517700"/>
  </r>
  <r>
    <x v="4"/>
    <s v="600LT"/>
    <n v="2021"/>
    <n v="3.8"/>
    <n v="592"/>
    <n v="457"/>
    <n v="2.8"/>
    <n v="240000"/>
  </r>
  <r>
    <x v="10"/>
    <s v="DB11"/>
    <n v="2021"/>
    <n v="5.2"/>
    <n v="630"/>
    <n v="516"/>
    <n v="3.5"/>
    <n v="221400"/>
  </r>
  <r>
    <x v="20"/>
    <s v="Continental GT"/>
    <n v="2021"/>
    <n v="6"/>
    <n v="626"/>
    <n v="664"/>
    <n v="3.6"/>
    <n v="202500"/>
  </r>
  <r>
    <x v="11"/>
    <s v="Chiron"/>
    <n v="2022"/>
    <n v="8"/>
    <n v="1500"/>
    <n v="1180"/>
    <n v="2.4"/>
    <n v="3000000"/>
  </r>
  <r>
    <x v="12"/>
    <s v="Challenger SRT Hellcat"/>
    <n v="2021"/>
    <n v="6.2"/>
    <n v="717"/>
    <n v="656"/>
    <n v="3.5"/>
    <n v="64100"/>
  </r>
  <r>
    <x v="13"/>
    <s v="F-Type R"/>
    <n v="2022"/>
    <n v="5"/>
    <n v="575"/>
    <n v="516"/>
    <n v="3.5"/>
    <n v="103200"/>
  </r>
  <r>
    <x v="14"/>
    <s v="Jesko"/>
    <n v="2022"/>
    <n v="5"/>
    <n v="1280"/>
    <n v="1015"/>
    <n v="2.5"/>
    <n v="2800000"/>
  </r>
  <r>
    <x v="15"/>
    <s v="LC 500"/>
    <n v="2021"/>
    <n v="5"/>
    <n v="471"/>
    <n v="398"/>
    <n v="4.4000000000000004"/>
    <n v="92950"/>
  </r>
  <r>
    <x v="16"/>
    <s v="Evora GT"/>
    <n v="2021"/>
    <n v="3.5"/>
    <n v="416"/>
    <n v="317"/>
    <n v="3.8"/>
    <n v="100450"/>
  </r>
  <r>
    <x v="17"/>
    <s v="GranTurismo"/>
    <n v="2021"/>
    <n v="4.7"/>
    <n v="454"/>
    <n v="384"/>
    <n v="4.8"/>
    <n v="150980"/>
  </r>
  <r>
    <x v="4"/>
    <s v="Artura"/>
    <n v="2022"/>
    <n v="3"/>
    <n v="671"/>
    <n v="531"/>
    <n v="3"/>
    <n v="225000"/>
  </r>
  <r>
    <x v="21"/>
    <s v="C 63 S"/>
    <n v="2022"/>
    <n v="4"/>
    <n v="503"/>
    <n v="516"/>
    <n v="3.7"/>
    <n v="81550"/>
  </r>
  <r>
    <x v="22"/>
    <s v="Huayra"/>
    <n v="2021"/>
    <n v="6"/>
    <n v="764"/>
    <n v="738"/>
    <n v="2.8"/>
    <n v="3500000"/>
  </r>
  <r>
    <x v="0"/>
    <s v="Cayman GT4"/>
    <n v="2021"/>
    <n v="4"/>
    <n v="414"/>
    <n v="309"/>
    <n v="4.2"/>
    <n v="102550"/>
  </r>
  <r>
    <x v="24"/>
    <s v="C_Two"/>
    <n v="2022"/>
    <s v="N/A"/>
    <n v="1888"/>
    <n v="1696"/>
    <n v="1.8"/>
    <n v="2400000"/>
  </r>
  <r>
    <x v="27"/>
    <s v="Wraith"/>
    <n v="2021"/>
    <n v="6.6"/>
    <n v="624"/>
    <n v="642"/>
    <n v="4.4000000000000004"/>
    <n v="330000"/>
  </r>
  <r>
    <x v="28"/>
    <s v="Roadster"/>
    <n v="2022"/>
    <s v="N/A"/>
    <s v="10000+"/>
    <n v="0"/>
    <n v="1.9"/>
    <n v="200000"/>
  </r>
  <r>
    <x v="29"/>
    <s v="Supra"/>
    <n v="2022"/>
    <n v="3"/>
    <n v="382"/>
    <n v="368"/>
    <n v="3.9"/>
    <n v="43090"/>
  </r>
  <r>
    <x v="25"/>
    <s v="NSX"/>
    <n v="2021"/>
    <n v="3.5"/>
    <n v="573"/>
    <n v="476"/>
    <n v="2.7"/>
    <n v="157500"/>
  </r>
  <r>
    <x v="10"/>
    <s v="Vantage"/>
    <n v="2021"/>
    <n v="4"/>
    <n v="503"/>
    <n v="505"/>
    <n v="3.5"/>
    <n v="146000"/>
  </r>
  <r>
    <x v="20"/>
    <s v="Continental GT"/>
    <n v="2022"/>
    <n v="4"/>
    <n v="542"/>
    <n v="568"/>
    <n v="3.9"/>
    <n v="207825"/>
  </r>
  <r>
    <x v="12"/>
    <s v="Challenger SRT Hellcat"/>
    <n v="2021"/>
    <n v="6.2"/>
    <n v="717"/>
    <n v="656"/>
    <n v="3.5"/>
    <n v="64195"/>
  </r>
  <r>
    <x v="13"/>
    <s v="F-Type"/>
    <n v="2022"/>
    <n v="3"/>
    <n v="380"/>
    <n v="339"/>
    <n v="4.8"/>
    <n v="62250"/>
  </r>
  <r>
    <x v="15"/>
    <s v="LC 500"/>
    <n v="2022"/>
    <n v="5"/>
    <n v="471"/>
    <n v="398"/>
    <n v="4.4000000000000004"/>
    <n v="92000"/>
  </r>
  <r>
    <x v="16"/>
    <s v="Evora GT"/>
    <n v="2021"/>
    <n v="3.5"/>
    <n v="416"/>
    <n v="317"/>
    <n v="3.8"/>
    <n v="105000"/>
  </r>
  <r>
    <x v="17"/>
    <s v="GranTurismo"/>
    <n v="2022"/>
    <n v="4.7"/>
    <n v="454"/>
    <n v="384"/>
    <n v="4.7"/>
    <n v="134300"/>
  </r>
  <r>
    <x v="4"/>
    <s v="570S"/>
    <n v="2022"/>
    <n v="3.8"/>
    <n v="562"/>
    <n v="443"/>
    <n v="2.9"/>
    <n v="204550"/>
  </r>
  <r>
    <x v="0"/>
    <s v="Cayman GT4"/>
    <n v="2021"/>
    <n v="4"/>
    <n v="414"/>
    <n v="309"/>
    <n v="4.2"/>
    <n v="102000"/>
  </r>
  <r>
    <x v="28"/>
    <s v="Model S Plaid"/>
    <n v="2021"/>
    <s v="Electric (tri-motor)"/>
    <n v="1020"/>
    <n v="1050"/>
    <n v="1.9"/>
    <n v="141190"/>
  </r>
  <r>
    <x v="3"/>
    <s v="RS 5"/>
    <n v="2021"/>
    <n v="2.9"/>
    <n v="444"/>
    <n v="443"/>
    <n v="3.5"/>
    <n v="75100"/>
  </r>
  <r>
    <x v="5"/>
    <s v="M2 Competition"/>
    <n v="2022"/>
    <n v="3"/>
    <n v="405"/>
    <n v="406"/>
    <n v="4"/>
    <n v="59895"/>
  </r>
  <r>
    <x v="7"/>
    <s v="Camaro ZL1"/>
    <n v="2021"/>
    <n v="6.2"/>
    <n v="650"/>
    <n v="650"/>
    <n v="3.5"/>
    <n v="64995"/>
  </r>
  <r>
    <x v="12"/>
    <s v="Viper ACR"/>
    <n v="2017"/>
    <n v="8.4"/>
    <n v="645"/>
    <n v="600"/>
    <n v="3.3"/>
    <n v="126190"/>
  </r>
  <r>
    <x v="8"/>
    <s v="GT"/>
    <n v="2021"/>
    <n v="3.5"/>
    <n v="660"/>
    <n v="550"/>
    <n v="2.9"/>
    <n v="500000"/>
  </r>
  <r>
    <x v="0"/>
    <s v="Taycan 4S"/>
    <n v="2022"/>
    <n v="2.5"/>
    <n v="482"/>
    <n v="472"/>
    <n v="3.8"/>
    <n v="102900"/>
  </r>
  <r>
    <x v="1"/>
    <s v="Aventador S"/>
    <n v="2021"/>
    <n v="6.5"/>
    <n v="730"/>
    <n v="509"/>
    <n v="2.9"/>
    <n v="417650"/>
  </r>
  <r>
    <x v="10"/>
    <s v="DB11"/>
    <n v="2021"/>
    <n v="5.2"/>
    <n v="630"/>
    <n v="516"/>
    <n v="3.5"/>
    <n v="205000"/>
  </r>
  <r>
    <x v="18"/>
    <s v="Giulia Quadrifoglio"/>
    <n v="2022"/>
    <n v="2.9"/>
    <n v="505"/>
    <n v="443"/>
    <n v="3.8"/>
    <n v="81250"/>
  </r>
  <r>
    <x v="3"/>
    <s v="RS7 Sportback"/>
    <n v="2022"/>
    <n v="4"/>
    <n v="591"/>
    <n v="590"/>
    <n v="3.5"/>
    <n v="115045"/>
  </r>
  <r>
    <x v="5"/>
    <s v="M4 Competition"/>
    <n v="2021"/>
    <n v="3"/>
    <n v="503"/>
    <n v="479"/>
    <n v="3.9"/>
    <n v="75695"/>
  </r>
  <r>
    <x v="7"/>
    <s v="Camaro SS"/>
    <n v="2022"/>
    <n v="6.2"/>
    <n v="455"/>
    <n v="455"/>
    <n v="4.0999999999999996"/>
    <n v="42000"/>
  </r>
  <r>
    <x v="12"/>
    <s v="Charger Hellcat"/>
    <n v="2021"/>
    <n v="6.2"/>
    <n v="717"/>
    <n v="650"/>
    <n v="3.6"/>
    <n v="71490"/>
  </r>
  <r>
    <x v="2"/>
    <s v="F8 Tributo"/>
    <n v="2021"/>
    <n v="3.9"/>
    <n v="710"/>
    <n v="568"/>
    <n v="2.9"/>
    <n v="274280"/>
  </r>
  <r>
    <x v="8"/>
    <s v="GT"/>
    <n v="2021"/>
    <n v="3.5"/>
    <n v="660"/>
    <n v="550"/>
    <n v="2.8"/>
    <n v="500000"/>
  </r>
  <r>
    <x v="13"/>
    <s v="F-Type R"/>
    <n v="2021"/>
    <n v="5"/>
    <n v="575"/>
    <n v="516"/>
    <n v="3.5"/>
    <n v="103200"/>
  </r>
  <r>
    <x v="14"/>
    <s v="Jesko Absolut"/>
    <n v="2022"/>
    <n v="5"/>
    <n v="1600"/>
    <n v="1106"/>
    <n v="2.1"/>
    <n v="2800000"/>
  </r>
  <r>
    <x v="15"/>
    <s v="LC 500"/>
    <n v="2021"/>
    <n v="5"/>
    <n v="471"/>
    <n v="398"/>
    <n v="4.4000000000000004"/>
    <n v="93050"/>
  </r>
  <r>
    <x v="16"/>
    <s v="Evija"/>
    <n v="2022"/>
    <s v="Electric"/>
    <n v="1973"/>
    <n v="1254"/>
    <n v="2.5"/>
    <n v="2750000"/>
  </r>
  <r>
    <x v="4"/>
    <s v="GT"/>
    <n v="2022"/>
    <n v="4"/>
    <n v="612"/>
    <n v="465"/>
    <n v="3.2"/>
    <n v="210000"/>
  </r>
  <r>
    <x v="6"/>
    <s v="AMG GT Black Series"/>
    <n v="2021"/>
    <n v="4"/>
    <n v="720"/>
    <n v="590"/>
    <n v="3.2"/>
    <n v="326050"/>
  </r>
  <r>
    <x v="0"/>
    <s v="Cayman GT4"/>
    <n v="2021"/>
    <n v="4"/>
    <n v="414"/>
    <n v="309"/>
    <n v="4.2"/>
    <n v="102500"/>
  </r>
  <r>
    <x v="1"/>
    <s v="Aventador"/>
    <n v="2021"/>
    <n v="6.5"/>
    <n v="770"/>
    <n v="531"/>
    <n v="2.8"/>
    <n v="417650"/>
  </r>
  <r>
    <x v="2"/>
    <s v="Portofino"/>
    <n v="2021"/>
    <n v="3.9"/>
    <n v="591"/>
    <n v="560"/>
    <n v="3.3"/>
    <n v="218750"/>
  </r>
  <r>
    <x v="3"/>
    <s v="TT RS"/>
    <n v="2022"/>
    <n v="2.5"/>
    <n v="394"/>
    <n v="354"/>
    <n v="3.6"/>
    <n v="69000"/>
  </r>
  <r>
    <x v="4"/>
    <s v="600LT Spider"/>
    <n v="2021"/>
    <n v="3.8"/>
    <n v="592"/>
    <n v="457"/>
    <n v="2.8"/>
    <n v="256500"/>
  </r>
  <r>
    <x v="5"/>
    <s v="M4"/>
    <n v="2022"/>
    <n v="3"/>
    <n v="473"/>
    <n v="406"/>
    <n v="4.0999999999999996"/>
    <n v="72800"/>
  </r>
  <r>
    <x v="6"/>
    <s v="AMG C 63"/>
    <n v="2022"/>
    <n v="4"/>
    <n v="503"/>
    <n v="516"/>
    <n v="3.8"/>
    <n v="70000"/>
  </r>
  <r>
    <x v="7"/>
    <s v="Camaro SS 1LE"/>
    <n v="2021"/>
    <n v="6.2"/>
    <n v="455"/>
    <n v="455"/>
    <n v="4"/>
    <n v="44500"/>
  </r>
  <r>
    <x v="8"/>
    <s v="Mustang Mach 1"/>
    <n v="2021"/>
    <n v="5"/>
    <n v="480"/>
    <n v="420"/>
    <n v="4"/>
    <n v="51000"/>
  </r>
  <r>
    <x v="9"/>
    <s v="370Z Nismo"/>
    <n v="2021"/>
    <n v="3.7"/>
    <n v="350"/>
    <n v="276"/>
    <n v="5.2"/>
    <n v="45000"/>
  </r>
  <r>
    <x v="10"/>
    <s v="Vantage"/>
    <n v="2021"/>
    <n v="4"/>
    <n v="503"/>
    <n v="505"/>
    <n v="3.5"/>
    <n v="146000"/>
  </r>
  <r>
    <x v="11"/>
    <s v="Chiron"/>
    <n v="2022"/>
    <n v="8"/>
    <n v="1500"/>
    <n v="1180"/>
    <n v="2.4"/>
    <n v="3000000"/>
  </r>
  <r>
    <x v="14"/>
    <s v="Jesko"/>
    <n v="2021"/>
    <n v="5"/>
    <n v="1262"/>
    <n v="1106"/>
    <n v="2.5"/>
    <n v="3000000"/>
  </r>
  <r>
    <x v="22"/>
    <s v="Huayra"/>
    <n v="2021"/>
    <n v="6"/>
    <n v="764"/>
    <n v="738"/>
    <n v="2.6"/>
    <n v="2600000"/>
  </r>
  <r>
    <x v="4"/>
    <s v="Speedtail"/>
    <n v="2021"/>
    <n v="4"/>
    <n v="1035"/>
    <n v="848"/>
    <n v="2.5"/>
    <n v="2300000"/>
  </r>
  <r>
    <x v="1"/>
    <s v="Sián"/>
    <n v="2021"/>
    <n v="6.5"/>
    <n v="819"/>
    <n v="531"/>
    <n v="2.8"/>
    <n v="3600000"/>
  </r>
  <r>
    <x v="24"/>
    <s v="C_Two"/>
    <n v="2021"/>
    <s v="Electric"/>
    <n v="1914"/>
    <n v="1732"/>
    <n v="1.8"/>
    <n v="2400000"/>
  </r>
  <r>
    <x v="0"/>
    <s v="Cayman"/>
    <n v="2022"/>
    <n v="2"/>
    <n v="300"/>
    <n v="280"/>
    <n v="4.9000000000000004"/>
    <n v="59900"/>
  </r>
  <r>
    <x v="1"/>
    <s v="Aventador"/>
    <n v="2021"/>
    <n v="6.5"/>
    <n v="770"/>
    <n v="531"/>
    <n v="2.8"/>
    <n v="393695"/>
  </r>
  <r>
    <x v="2"/>
    <s v="Portofino"/>
    <n v="2021"/>
    <n v="3.9"/>
    <n v="591"/>
    <n v="413"/>
    <n v="3.5"/>
    <n v="215000"/>
  </r>
  <r>
    <x v="3"/>
    <s v="RS 5"/>
    <n v="2022"/>
    <n v="2.9"/>
    <n v="444"/>
    <n v="443"/>
    <n v="3.7"/>
    <n v="75100"/>
  </r>
  <r>
    <x v="4"/>
    <s v="GT"/>
    <n v="2021"/>
    <n v="4"/>
    <n v="620"/>
    <n v="465"/>
    <n v="3.1"/>
    <n v="210000"/>
  </r>
  <r>
    <x v="5"/>
    <s v="Z4 M40i"/>
    <n v="2022"/>
    <n v="3"/>
    <n v="382"/>
    <n v="369"/>
    <n v="4.3"/>
    <n v="63700"/>
  </r>
  <r>
    <x v="6"/>
    <s v="SLC 43"/>
    <n v="2020"/>
    <n v="3"/>
    <n v="385"/>
    <n v="384"/>
    <n v="4.5999999999999996"/>
    <n v="62000"/>
  </r>
  <r>
    <x v="7"/>
    <s v="Camaro SS"/>
    <n v="2022"/>
    <n v="6.2"/>
    <n v="455"/>
    <n v="455"/>
    <n v="4.3"/>
    <n v="42500"/>
  </r>
  <r>
    <x v="8"/>
    <s v="Mustang GT"/>
    <n v="2022"/>
    <n v="5"/>
    <n v="460"/>
    <n v="420"/>
    <n v="4.3"/>
    <n v="36120"/>
  </r>
  <r>
    <x v="9"/>
    <s v="370Z Nismo"/>
    <n v="2020"/>
    <n v="3.7"/>
    <n v="350"/>
    <n v="276"/>
    <n v="4.5999999999999996"/>
    <n v="45790"/>
  </r>
  <r>
    <x v="10"/>
    <s v="Vantage"/>
    <n v="2022"/>
    <n v="4"/>
    <n v="503"/>
    <n v="505"/>
    <n v="3.6"/>
    <n v="146000"/>
  </r>
  <r>
    <x v="20"/>
    <s v="Continental GT"/>
    <n v="2021"/>
    <n v="4"/>
    <n v="626"/>
    <n v="664"/>
    <n v="3.3"/>
    <n v="220000"/>
  </r>
  <r>
    <x v="0"/>
    <s v="718 Boxster"/>
    <n v="2022"/>
    <n v="2"/>
    <n v="300"/>
    <n v="280"/>
    <n v="4.9000000000000004"/>
    <n v="62000"/>
  </r>
  <r>
    <x v="1"/>
    <s v="Urus"/>
    <n v="2021"/>
    <n v="4"/>
    <n v="641"/>
    <n v="627"/>
    <n v="3.6"/>
    <n v="222004"/>
  </r>
  <r>
    <x v="2"/>
    <s v="F8 Spider"/>
    <n v="2021"/>
    <n v="3.9"/>
    <n v="710"/>
    <n v="568"/>
    <n v="2.9"/>
    <n v="280000"/>
  </r>
  <r>
    <x v="3"/>
    <s v="TT RS"/>
    <n v="2022"/>
    <n v="2.5"/>
    <n v="394"/>
    <n v="354"/>
    <n v="3.6"/>
    <n v="69900"/>
  </r>
  <r>
    <x v="4"/>
    <s v="570S"/>
    <n v="2021"/>
    <n v="3.8"/>
    <n v="562"/>
    <n v="443"/>
    <n v="2.9"/>
    <n v="208800"/>
  </r>
  <r>
    <x v="5"/>
    <s v="M4"/>
    <n v="2022"/>
    <n v="3"/>
    <n v="473"/>
    <n v="406"/>
    <n v="4"/>
    <n v="72800"/>
  </r>
  <r>
    <x v="0"/>
    <s v="718 Cayman"/>
    <n v="2022"/>
    <n v="2"/>
    <n v="300"/>
    <n v="280"/>
    <n v="4.9000000000000004"/>
    <n v="60500"/>
  </r>
  <r>
    <x v="1"/>
    <s v="Aventador"/>
    <n v="2021"/>
    <n v="6.5"/>
    <n v="730"/>
    <n v="509"/>
    <n v="2.9"/>
    <n v="393695"/>
  </r>
  <r>
    <x v="2"/>
    <s v="SF90 Stradale"/>
    <n v="2022"/>
    <n v="4"/>
    <n v="986"/>
    <n v="590"/>
    <n v="2.5"/>
    <n v="625000"/>
  </r>
  <r>
    <x v="3"/>
    <s v="RS5"/>
    <n v="2022"/>
    <n v="2.9"/>
    <n v="444"/>
    <n v="443"/>
    <n v="3.7"/>
    <n v="75100"/>
  </r>
  <r>
    <x v="4"/>
    <s v="GT"/>
    <n v="2021"/>
    <n v="4"/>
    <n v="612"/>
    <n v="465"/>
    <n v="3.2"/>
    <n v="208800"/>
  </r>
  <r>
    <x v="5"/>
    <s v="M2"/>
    <n v="2022"/>
    <n v="3"/>
    <n v="405"/>
    <n v="406"/>
    <n v="4"/>
    <n v="58900"/>
  </r>
  <r>
    <x v="6"/>
    <s v="SLS AMG"/>
    <n v="2015"/>
    <n v="6.2"/>
    <n v="622"/>
    <n v="468"/>
    <n v="3.6"/>
    <n v="229000"/>
  </r>
  <r>
    <x v="7"/>
    <s v="Camaro ZL1"/>
    <n v="2021"/>
    <n v="6.2"/>
    <n v="650"/>
    <n v="650"/>
    <n v="3.5"/>
    <n v="62000"/>
  </r>
  <r>
    <x v="8"/>
    <s v="GT"/>
    <n v="2022"/>
    <n v="3.5"/>
    <n v="660"/>
    <n v="550"/>
    <n v="3"/>
    <n v="500000"/>
  </r>
  <r>
    <x v="9"/>
    <s v="370Z Nismo"/>
    <n v="2020"/>
    <n v="3.7"/>
    <n v="350"/>
    <n v="276"/>
    <n v="5.2"/>
    <n v="46200"/>
  </r>
  <r>
    <x v="12"/>
    <s v="Challenger SRT Hellcat"/>
    <n v="2021"/>
    <n v="6.2"/>
    <n v="717"/>
    <n v="656"/>
    <n v="3.6"/>
    <n v="71000"/>
  </r>
  <r>
    <x v="10"/>
    <s v="DBS Superleggera"/>
    <n v="2021"/>
    <n v="5.2"/>
    <n v="715"/>
    <n v="663"/>
    <n v="3.2"/>
    <n v="308000"/>
  </r>
  <r>
    <x v="18"/>
    <s v="Giulia Quadrifoglio"/>
    <n v="2022"/>
    <n v="2.9"/>
    <n v="505"/>
    <n v="443"/>
    <n v="3.8"/>
    <n v="80500"/>
  </r>
  <r>
    <x v="13"/>
    <s v="F-Type R"/>
    <n v="2021"/>
    <n v="5"/>
    <n v="575"/>
    <n v="516"/>
    <n v="3.5"/>
    <n v="105900"/>
  </r>
  <r>
    <x v="16"/>
    <s v="Evora GT"/>
    <n v="2020"/>
    <n v="3.5"/>
    <n v="416"/>
    <n v="317"/>
    <n v="3.8"/>
    <n v="96950"/>
  </r>
  <r>
    <x v="17"/>
    <s v="GranTurismo"/>
    <n v="2019"/>
    <n v="4.7"/>
    <n v="454"/>
    <n v="384"/>
    <n v="4.7"/>
    <n v="150980"/>
  </r>
  <r>
    <x v="0"/>
    <s v="Panamera Turbo S"/>
    <n v="2022"/>
    <n v="4"/>
    <n v="630"/>
    <n v="604"/>
    <n v="2.9"/>
    <n v="180800"/>
  </r>
  <r>
    <x v="1"/>
    <s v="Urus"/>
    <n v="2021"/>
    <n v="4"/>
    <n v="641"/>
    <n v="627"/>
    <n v="3.2"/>
    <n v="218000"/>
  </r>
  <r>
    <x v="10"/>
    <s v="Vantage"/>
    <n v="2021"/>
    <n v="4"/>
    <n v="503"/>
    <n v="505"/>
    <n v="3.5"/>
    <n v="146000"/>
  </r>
  <r>
    <x v="16"/>
    <s v="Evora"/>
    <n v="2021"/>
    <n v="3.5"/>
    <n v="416"/>
    <n v="317"/>
    <n v="3.8"/>
    <n v="94000"/>
  </r>
  <r>
    <x v="18"/>
    <s v="4C Spider"/>
    <n v="2020"/>
    <n v="1.7"/>
    <n v="237"/>
    <n v="258"/>
    <n v="4.0999999999999996"/>
    <n v="67150"/>
  </r>
  <r>
    <x v="13"/>
    <s v="F-Type"/>
    <n v="2022"/>
    <n v="3"/>
    <n v="380"/>
    <n v="339"/>
    <n v="4.9000000000000004"/>
    <n v="70900"/>
  </r>
  <r>
    <x v="17"/>
    <s v="GranTurismo"/>
    <n v="2021"/>
    <n v="4.7"/>
    <n v="454"/>
    <n v="384"/>
    <n v="4.7"/>
    <n v="134300"/>
  </r>
  <r>
    <x v="0"/>
    <s v="Cayman GT4"/>
    <n v="2021"/>
    <n v="4"/>
    <n v="414"/>
    <n v="309"/>
    <n v="4.2"/>
    <n v="100200"/>
  </r>
  <r>
    <x v="3"/>
    <s v="RS5 Coupe"/>
    <n v="2022"/>
    <n v="2.9"/>
    <n v="444"/>
    <n v="443"/>
    <n v="3.7"/>
    <n v="76450"/>
  </r>
  <r>
    <x v="5"/>
    <s v="M2 Competition"/>
    <n v="2021"/>
    <n v="3"/>
    <n v="405"/>
    <n v="406"/>
    <n v="4"/>
    <n v="58900"/>
  </r>
  <r>
    <x v="7"/>
    <s v="Camaro ZL1"/>
    <n v="2022"/>
    <n v="6.2"/>
    <n v="650"/>
    <n v="650"/>
    <n v="3.5"/>
    <n v="64000"/>
  </r>
  <r>
    <x v="12"/>
    <s v="Challenger SRT Hellcat"/>
    <n v="2022"/>
    <n v="6.2"/>
    <n v="717"/>
    <n v="656"/>
    <n v="3.5"/>
    <n v="61500"/>
  </r>
  <r>
    <x v="8"/>
    <s v="GT"/>
    <n v="2021"/>
    <n v="3.5"/>
    <n v="647"/>
    <n v="550"/>
    <n v="2.8"/>
    <n v="500000"/>
  </r>
  <r>
    <x v="15"/>
    <s v="LC 500"/>
    <n v="2022"/>
    <n v="5"/>
    <n v="471"/>
    <n v="398"/>
    <n v="4.4000000000000004"/>
    <n v="92950"/>
  </r>
  <r>
    <x v="4"/>
    <s v="570S"/>
    <n v="2022"/>
    <n v="3.8"/>
    <n v="562"/>
    <n v="443"/>
    <n v="3.1"/>
    <n v="198950"/>
  </r>
  <r>
    <x v="21"/>
    <s v="C63 S Coupe"/>
    <n v="2021"/>
    <n v="4"/>
    <n v="503"/>
    <n v="516"/>
    <n v="3.7"/>
    <n v="77950"/>
  </r>
  <r>
    <x v="9"/>
    <s v="370Z Nismo"/>
    <n v="2021"/>
    <n v="3.7"/>
    <n v="350"/>
    <n v="276"/>
    <n v="4.9000000000000004"/>
    <n v="45790"/>
  </r>
  <r>
    <x v="0"/>
    <s v="718 Boxster"/>
    <n v="2021"/>
    <n v="2"/>
    <n v="300"/>
    <n v="280"/>
    <n v="4.9000000000000004"/>
    <n v="62000"/>
  </r>
  <r>
    <x v="1"/>
    <s v="Aventador S"/>
    <n v="2021"/>
    <n v="6.5"/>
    <n v="729"/>
    <n v="507"/>
    <n v="2.9"/>
    <n v="417826"/>
  </r>
  <r>
    <x v="2"/>
    <s v="F8 Tributo"/>
    <n v="2021"/>
    <n v="3.9"/>
    <n v="710"/>
    <n v="568"/>
    <n v="2.9"/>
    <n v="274280"/>
  </r>
  <r>
    <x v="3"/>
    <s v="TT RS Coupe"/>
    <n v="2021"/>
    <n v="2.5"/>
    <n v="394"/>
    <n v="354"/>
    <n v="3.6"/>
    <n v="67600"/>
  </r>
  <r>
    <x v="5"/>
    <s v="M4 Coupe"/>
    <n v="2021"/>
    <n v="3"/>
    <n v="473"/>
    <n v="406"/>
    <n v="3.8"/>
    <n v="71800"/>
  </r>
  <r>
    <x v="25"/>
    <s v="NSX"/>
    <n v="2021"/>
    <n v="3.5"/>
    <n v="573"/>
    <n v="476"/>
    <n v="2.7"/>
    <n v="159495"/>
  </r>
  <r>
    <x v="10"/>
    <s v="DBS Superleggera"/>
    <n v="2022"/>
    <n v="5.2"/>
    <n v="715"/>
    <n v="664"/>
    <n v="3.4"/>
    <n v="314500"/>
  </r>
  <r>
    <x v="20"/>
    <s v="Continental GT"/>
    <n v="2022"/>
    <n v="6"/>
    <n v="626"/>
    <n v="664"/>
    <n v="3.3"/>
    <n v="214425"/>
  </r>
  <r>
    <x v="11"/>
    <s v="Chiron"/>
    <n v="2022"/>
    <n v="8"/>
    <n v="1500"/>
    <n v="1180"/>
    <n v="2.2999999999999998"/>
    <n v="3000000"/>
  </r>
  <r>
    <x v="12"/>
    <s v="Challenger SRT Hellcat"/>
    <n v="2022"/>
    <n v="6.2"/>
    <n v="717"/>
    <n v="656"/>
    <n v="3.5"/>
    <n v="71490"/>
  </r>
  <r>
    <x v="13"/>
    <s v="F-Type"/>
    <n v="2021"/>
    <n v="5"/>
    <n v="575"/>
    <n v="516"/>
    <n v="3.5"/>
    <n v="105900"/>
  </r>
  <r>
    <x v="14"/>
    <s v="Jesko"/>
    <n v="2021"/>
    <n v="5"/>
    <n v="1280"/>
    <n v="1106"/>
    <n v="2.5"/>
    <n v="2800000"/>
  </r>
  <r>
    <x v="15"/>
    <s v="LC 500"/>
    <n v="2021"/>
    <n v="5"/>
    <n v="471"/>
    <n v="398"/>
    <n v="4.4000000000000004"/>
    <n v="92950"/>
  </r>
  <r>
    <x v="16"/>
    <s v="Evora GT"/>
    <n v="2021"/>
    <n v="3.5"/>
    <n v="416"/>
    <n v="317"/>
    <n v="3.8"/>
    <n v="104400"/>
  </r>
  <r>
    <x v="17"/>
    <s v="GranTurismo"/>
    <n v="2022"/>
    <n v="4.7"/>
    <n v="454"/>
    <n v="384"/>
    <n v="4.7"/>
    <n v="150980"/>
  </r>
  <r>
    <x v="4"/>
    <s v="Artura"/>
    <n v="2022"/>
    <n v="3"/>
    <n v="671"/>
    <n v="531"/>
    <n v="3"/>
    <n v="225000"/>
  </r>
  <r>
    <x v="22"/>
    <s v="Huayra"/>
    <n v="2021"/>
    <n v="6"/>
    <n v="764"/>
    <n v="738"/>
    <n v="2.6"/>
    <n v="2600000"/>
  </r>
  <r>
    <x v="0"/>
    <s v="Cayman GT4"/>
    <n v="2022"/>
    <n v="4"/>
    <n v="414"/>
    <n v="309"/>
    <n v="4.2"/>
    <n v="102000"/>
  </r>
  <r>
    <x v="24"/>
    <s v="C_Two"/>
    <n v="2021"/>
    <s v="Electric"/>
    <n v="1914"/>
    <n v="1696"/>
    <n v="1.9"/>
    <n v="2400000"/>
  </r>
  <r>
    <x v="27"/>
    <s v="Wraith"/>
    <n v="2021"/>
    <n v="6.8"/>
    <n v="624"/>
    <n v="605"/>
    <n v="4.4000000000000004"/>
    <n v="335550"/>
  </r>
  <r>
    <x v="28"/>
    <s v="Model S Plaid"/>
    <n v="2021"/>
    <s v="Electric"/>
    <n v="1020"/>
    <n v="1050"/>
    <n v="1.9"/>
    <n v="141990"/>
  </r>
  <r>
    <x v="29"/>
    <s v="GR Supra"/>
    <n v="2022"/>
    <n v="3"/>
    <n v="382"/>
    <n v="368"/>
    <n v="3.9"/>
    <n v="43090"/>
  </r>
  <r>
    <x v="32"/>
    <s v="Griffith"/>
    <n v="2021"/>
    <n v="5"/>
    <n v="500"/>
    <n v="420"/>
    <n v="3.9"/>
    <n v="157500"/>
  </r>
  <r>
    <x v="37"/>
    <s v="RS"/>
    <n v="2021"/>
    <n v="6.2"/>
    <n v="1200"/>
    <n v="1300"/>
    <n v="2.2999999999999998"/>
    <n v="220000"/>
  </r>
  <r>
    <x v="30"/>
    <s v="Fenyr SuperSport"/>
    <n v="2022"/>
    <n v="3.8"/>
    <n v="800"/>
    <n v="723"/>
    <n v="2.7"/>
    <n v="1550000"/>
  </r>
  <r>
    <x v="25"/>
    <s v="NSX"/>
    <n v="2021"/>
    <n v="3.5"/>
    <n v="573"/>
    <n v="476"/>
    <n v="2.9"/>
    <n v="157500"/>
  </r>
  <r>
    <x v="10"/>
    <s v="DBS Superleggera"/>
    <n v="2022"/>
    <n v="5.2"/>
    <n v="715"/>
    <n v="663"/>
    <n v="3.2"/>
    <n v="308000"/>
  </r>
  <r>
    <x v="20"/>
    <s v="Continental GT"/>
    <n v="2021"/>
    <n v="6"/>
    <n v="626"/>
    <n v="664"/>
    <n v="3.6"/>
    <n v="202500"/>
  </r>
  <r>
    <x v="11"/>
    <s v="Chiron"/>
    <n v="2021"/>
    <n v="8"/>
    <n v="1500"/>
    <n v="1180"/>
    <n v="2.2999999999999998"/>
    <n v="3000000"/>
  </r>
  <r>
    <x v="12"/>
    <s v="Challenger SRT Hellcat"/>
    <n v="2021"/>
    <n v="6.2"/>
    <n v="717"/>
    <n v="656"/>
    <n v="3.5"/>
    <n v="65000"/>
  </r>
  <r>
    <x v="13"/>
    <s v="F-Type"/>
    <n v="2021"/>
    <n v="3"/>
    <n v="380"/>
    <n v="339"/>
    <n v="4.9000000000000004"/>
    <n v="63100"/>
  </r>
  <r>
    <x v="15"/>
    <s v="LC 500"/>
    <n v="2021"/>
    <n v="5"/>
    <n v="471"/>
    <n v="398"/>
    <n v="4.4000000000000004"/>
    <n v="92950"/>
  </r>
  <r>
    <x v="16"/>
    <s v="Evija"/>
    <n v="2022"/>
    <s v="Electric"/>
    <n v="1973"/>
    <n v="1254"/>
    <n v="2.5"/>
    <n v="2600000"/>
  </r>
  <r>
    <x v="17"/>
    <s v="GranTurismo"/>
    <n v="2021"/>
    <n v="4.7"/>
    <n v="454"/>
    <n v="384"/>
    <n v="4.8"/>
    <n v="134300"/>
  </r>
  <r>
    <x v="0"/>
    <s v="Taycan"/>
    <n v="2021"/>
    <s v="Electric"/>
    <n v="616"/>
    <n v="774"/>
    <n v="2.6"/>
    <n v="185000"/>
  </r>
  <r>
    <x v="24"/>
    <s v="C_Two"/>
    <n v="2022"/>
    <s v="Electric"/>
    <n v="1914"/>
    <n v="1696"/>
    <n v="1.9"/>
    <n v="2400000"/>
  </r>
  <r>
    <x v="28"/>
    <s v="Model S Plaid"/>
    <n v="2022"/>
    <s v="Electric"/>
    <n v="1020"/>
    <n v="1050"/>
    <n v="1.98"/>
    <n v="140000"/>
  </r>
  <r>
    <x v="4"/>
    <s v="Artura"/>
    <n v="2022"/>
    <n v="3"/>
    <n v="671"/>
    <n v="531"/>
    <n v="3"/>
    <n v="225000"/>
  </r>
  <r>
    <x v="6"/>
    <s v="AMG GT Black Series"/>
    <n v="2021"/>
    <n v="4"/>
    <n v="720"/>
    <n v="590"/>
    <n v="3.1"/>
    <n v="325000"/>
  </r>
  <r>
    <x v="7"/>
    <s v="Camaro ZL1"/>
    <n v="2021"/>
    <n v="6.2"/>
    <n v="650"/>
    <n v="650"/>
    <n v="3.5"/>
    <n v="63000"/>
  </r>
  <r>
    <x v="8"/>
    <s v="GT"/>
    <n v="2021"/>
    <n v="3.5"/>
    <n v="647"/>
    <n v="550"/>
    <n v="3"/>
    <n v="500000"/>
  </r>
  <r>
    <x v="10"/>
    <s v="DBS Superleggera"/>
    <n v="2021"/>
    <n v="5.2"/>
    <n v="715"/>
    <n v="664"/>
    <n v="3.4"/>
    <n v="307820"/>
  </r>
  <r>
    <x v="13"/>
    <s v="F-Type"/>
    <n v="2022"/>
    <n v="5"/>
    <n v="575"/>
    <n v="516"/>
    <n v="3.5"/>
    <n v="103200"/>
  </r>
  <r>
    <x v="12"/>
    <s v="Challenger SRT Hellcat Redeye"/>
    <n v="2021"/>
    <n v="6.2"/>
    <n v="797"/>
    <n v="707"/>
    <n v="3.5"/>
    <n v="80190"/>
  </r>
  <r>
    <x v="16"/>
    <s v="Evora GT"/>
    <n v="2022"/>
    <n v="3.5"/>
    <n v="416"/>
    <n v="317"/>
    <n v="3.8"/>
    <n v="105000"/>
  </r>
  <r>
    <x v="18"/>
    <s v="4C Spider"/>
    <n v="2020"/>
    <n v="1.8"/>
    <n v="237"/>
    <n v="258"/>
    <n v="4.0999999999999996"/>
    <n v="68745"/>
  </r>
  <r>
    <x v="33"/>
    <s v="WRX STI"/>
    <n v="2022"/>
    <n v="2.5"/>
    <n v="310"/>
    <n v="290"/>
    <n v="5.2"/>
    <n v="38170"/>
  </r>
  <r>
    <x v="25"/>
    <s v="NSX"/>
    <n v="2022"/>
    <n v="3.5"/>
    <n v="573"/>
    <n v="476"/>
    <n v="2.7"/>
    <n v="157500"/>
  </r>
  <r>
    <x v="14"/>
    <s v="Jesko"/>
    <n v="2021"/>
    <n v="5"/>
    <n v="1280"/>
    <n v="1015"/>
    <n v="2.5"/>
    <n v="2800000"/>
  </r>
  <r>
    <x v="28"/>
    <s v="Model S Plaid"/>
    <n v="2022"/>
    <s v="Electric"/>
    <n v="1020"/>
    <n v="1050"/>
    <n v="1.98"/>
    <n v="139990"/>
  </r>
  <r>
    <x v="11"/>
    <s v="Chiron Super Sport 300+"/>
    <n v="2022"/>
    <n v="8"/>
    <n v="1578"/>
    <n v="1180"/>
    <n v="2.2999999999999998"/>
    <n v="5200000"/>
  </r>
  <r>
    <x v="4"/>
    <s v="Senna"/>
    <n v="2020"/>
    <n v="4"/>
    <n v="789"/>
    <n v="590"/>
    <n v="2.7"/>
    <n v="1500000"/>
  </r>
  <r>
    <x v="0"/>
    <s v="Taycan Turbo S"/>
    <n v="2022"/>
    <s v="Electric"/>
    <n v="750"/>
    <n v="774"/>
    <n v="2.6"/>
    <n v="185000"/>
  </r>
  <r>
    <x v="6"/>
    <s v="SLS AMG Black Series"/>
    <n v="2014"/>
    <n v="6.2"/>
    <n v="622"/>
    <n v="468"/>
    <n v="3.5"/>
    <n v="275000"/>
  </r>
  <r>
    <x v="15"/>
    <s v="LC 500"/>
    <n v="2022"/>
    <n v="5"/>
    <n v="471"/>
    <n v="398"/>
    <n v="4.4000000000000004"/>
    <n v="93050"/>
  </r>
  <r>
    <x v="7"/>
    <s v="Camaro ZL1"/>
    <n v="2022"/>
    <n v="6.2"/>
    <n v="650"/>
    <n v="650"/>
    <n v="3.5"/>
    <n v="65000"/>
  </r>
  <r>
    <x v="3"/>
    <s v="RS 7 Sportback"/>
    <n v="2022"/>
    <n v="4"/>
    <n v="591"/>
    <n v="590"/>
    <n v="3.5"/>
    <n v="114000"/>
  </r>
  <r>
    <x v="8"/>
    <s v="GT"/>
    <n v="2022"/>
    <n v="3.5"/>
    <n v="660"/>
    <n v="550"/>
    <n v="3"/>
    <n v="500000"/>
  </r>
  <r>
    <x v="5"/>
    <s v="M2 CS"/>
    <n v="2022"/>
    <n v="3"/>
    <n v="444"/>
    <n v="406"/>
    <n v="3.8"/>
    <n v="84595"/>
  </r>
  <r>
    <x v="0"/>
    <s v="Cayman GT4"/>
    <n v="2022"/>
    <n v="4"/>
    <n v="414"/>
    <n v="309"/>
    <n v="4.2"/>
    <n v="102550"/>
  </r>
  <r>
    <x v="1"/>
    <s v="Aventador"/>
    <n v="2022"/>
    <n v="6.5"/>
    <n v="770"/>
    <n v="531"/>
    <n v="2.8"/>
    <n v="393695"/>
  </r>
  <r>
    <x v="10"/>
    <s v="Vantage"/>
    <n v="2021"/>
    <n v="4"/>
    <n v="503"/>
    <n v="505"/>
    <n v="3.6"/>
    <n v="146000"/>
  </r>
  <r>
    <x v="16"/>
    <s v="Evora GT"/>
    <n v="2021"/>
    <n v="3.5"/>
    <n v="416"/>
    <n v="317"/>
    <n v="3.8"/>
    <n v="96950"/>
  </r>
  <r>
    <x v="0"/>
    <s v="Panamera Turbo S"/>
    <n v="2021"/>
    <n v="4"/>
    <n v="620"/>
    <n v="604"/>
    <n v="2.9"/>
    <n v="180000"/>
  </r>
  <r>
    <x v="1"/>
    <s v="Aventador S"/>
    <n v="2022"/>
    <n v="6.5"/>
    <n v="729"/>
    <n v="507"/>
    <n v="2.9"/>
    <n v="460247"/>
  </r>
  <r>
    <x v="2"/>
    <s v="SF90 Stradale"/>
    <n v="2021"/>
    <n v="4"/>
    <n v="986"/>
    <n v="590"/>
    <n v="2.5"/>
    <n v="625000"/>
  </r>
  <r>
    <x v="3"/>
    <s v="RS 6 Avant"/>
    <n v="2022"/>
    <n v="4"/>
    <n v="591"/>
    <n v="590"/>
    <n v="3.1"/>
    <n v="110045"/>
  </r>
  <r>
    <x v="4"/>
    <s v="570S"/>
    <n v="2021"/>
    <n v="3.8"/>
    <n v="562"/>
    <n v="443"/>
    <n v="3.1"/>
    <n v="192500"/>
  </r>
  <r>
    <x v="5"/>
    <s v="M5"/>
    <n v="2022"/>
    <n v="4.4000000000000004"/>
    <n v="600"/>
    <n v="553"/>
    <n v="3.2"/>
    <n v="103500"/>
  </r>
  <r>
    <x v="6"/>
    <s v="AMG C 63 S"/>
    <n v="2021"/>
    <n v="4"/>
    <n v="503"/>
    <n v="516"/>
    <n v="3.7"/>
    <n v="77400"/>
  </r>
  <r>
    <x v="7"/>
    <s v="Camaro ZL1"/>
    <n v="2021"/>
    <n v="6.2"/>
    <n v="650"/>
    <n v="650"/>
    <n v="3.5"/>
    <n v="64695"/>
  </r>
  <r>
    <x v="12"/>
    <s v="Challenger SRT Hellcat"/>
    <n v="2021"/>
    <n v="6.2"/>
    <n v="717"/>
    <n v="656"/>
    <n v="3.5"/>
    <n v="64195"/>
  </r>
  <r>
    <x v="8"/>
    <s v="GT"/>
    <n v="2021"/>
    <n v="3.5"/>
    <n v="660"/>
    <n v="550"/>
    <n v="3"/>
    <n v="500000"/>
  </r>
  <r>
    <x v="9"/>
    <s v="370Z Nismo"/>
    <n v="2020"/>
    <n v="3.7"/>
    <n v="350"/>
    <n v="276"/>
    <n v="5"/>
    <n v="46815"/>
  </r>
  <r>
    <x v="0"/>
    <s v="Cayman GT4"/>
    <n v="2021"/>
    <n v="4"/>
    <n v="414"/>
    <n v="309"/>
    <n v="4.2"/>
    <n v="102550"/>
  </r>
  <r>
    <x v="3"/>
    <s v="TT RS"/>
    <n v="2021"/>
    <n v="2.5"/>
    <n v="394"/>
    <n v="354"/>
    <n v="3.6"/>
    <n v="67895"/>
  </r>
  <r>
    <x v="7"/>
    <s v="Corvette Z06"/>
    <n v="2023"/>
    <n v="5.5"/>
    <n v="625"/>
    <n v="650"/>
    <n v="2.6"/>
    <n v="85000"/>
  </r>
  <r>
    <x v="1"/>
    <s v="Urus"/>
    <n v="2022"/>
    <n v="4"/>
    <n v="641"/>
    <n v="626"/>
    <n v="3.2"/>
    <n v="218009"/>
  </r>
  <r>
    <x v="6"/>
    <s v="AMG GT 63 S"/>
    <n v="2021"/>
    <n v="4"/>
    <n v="630"/>
    <n v="664"/>
    <n v="3.1"/>
    <n v="162900"/>
  </r>
  <r>
    <x v="2"/>
    <s v="Portofino M"/>
    <n v="2022"/>
    <n v="3.9"/>
    <n v="612"/>
    <n v="560"/>
    <n v="3.5"/>
    <n v="245000"/>
  </r>
  <r>
    <x v="11"/>
    <s v="Chiron"/>
    <n v="2021"/>
    <n v="8"/>
    <n v="1479"/>
    <n v="1180"/>
    <n v="2.5"/>
    <n v="3000000"/>
  </r>
  <r>
    <x v="10"/>
    <s v="DBS Superleggera"/>
    <n v="2021"/>
    <n v="5.2"/>
    <n v="715"/>
    <n v="664"/>
    <n v="3.4"/>
    <n v="304995"/>
  </r>
  <r>
    <x v="16"/>
    <s v="Evora GT"/>
    <n v="2021"/>
    <n v="3.5"/>
    <n v="416"/>
    <n v="317"/>
    <n v="3.8"/>
    <n v="100450"/>
  </r>
  <r>
    <x v="0"/>
    <s v="Cayman GT4"/>
    <n v="2022"/>
    <n v="4"/>
    <n v="414"/>
    <n v="309"/>
    <n v="4.2"/>
    <n v="100200"/>
  </r>
  <r>
    <x v="25"/>
    <s v="NSX"/>
    <n v="2021"/>
    <n v="3.5"/>
    <n v="573"/>
    <n v="476"/>
    <n v="2.7"/>
    <n v="157500"/>
  </r>
  <r>
    <x v="15"/>
    <s v="LC"/>
    <n v="2021"/>
    <n v="5"/>
    <n v="471"/>
    <n v="398"/>
    <n v="4.4000000000000004"/>
    <n v="92950"/>
  </r>
  <r>
    <x v="18"/>
    <s v="Giulia Quadrifoglio"/>
    <n v="2021"/>
    <n v="2.9"/>
    <n v="505"/>
    <n v="443"/>
    <n v="3.8"/>
    <n v="74750"/>
  </r>
  <r>
    <x v="3"/>
    <s v="RS7"/>
    <n v="2021"/>
    <n v="4"/>
    <n v="591"/>
    <n v="590"/>
    <n v="3.5"/>
    <n v="114000"/>
  </r>
  <r>
    <x v="20"/>
    <s v="Continental GT"/>
    <n v="2021"/>
    <n v="6"/>
    <n v="626"/>
    <n v="664"/>
    <n v="3.3"/>
    <n v="218400"/>
  </r>
  <r>
    <x v="5"/>
    <s v="M5"/>
    <n v="2021"/>
    <n v="4.4000000000000004"/>
    <n v="600"/>
    <n v="553"/>
    <n v="3.2"/>
    <n v="103500"/>
  </r>
  <r>
    <x v="7"/>
    <s v="Camaro ZL1"/>
    <n v="2021"/>
    <n v="6.2"/>
    <n v="650"/>
    <n v="650"/>
    <n v="3.5"/>
    <n v="64695"/>
  </r>
  <r>
    <x v="12"/>
    <s v="Challenger Hellcat"/>
    <n v="2021"/>
    <n v="6.2"/>
    <n v="717"/>
    <n v="656"/>
    <n v="3.5"/>
    <n v="70595"/>
  </r>
  <r>
    <x v="8"/>
    <s v="GT"/>
    <n v="2022"/>
    <n v="3.5"/>
    <n v="647"/>
    <n v="550"/>
    <n v="3"/>
    <n v="500000"/>
  </r>
  <r>
    <x v="13"/>
    <s v="F-Type R"/>
    <n v="2021"/>
    <n v="5"/>
    <n v="575"/>
    <n v="516"/>
    <n v="3.5"/>
    <n v="103200"/>
  </r>
  <r>
    <x v="1"/>
    <s v="Aventador"/>
    <n v="2021"/>
    <n v="6.5"/>
    <n v="730"/>
    <n v="509"/>
    <n v="2.9"/>
    <n v="393695"/>
  </r>
  <r>
    <x v="4"/>
    <s v="570S"/>
    <n v="2021"/>
    <n v="3.8"/>
    <n v="562"/>
    <n v="443"/>
    <n v="3.1"/>
    <n v="203500"/>
  </r>
  <r>
    <x v="6"/>
    <s v="SLS AMG"/>
    <n v="2015"/>
    <n v="6.2"/>
    <n v="583"/>
    <n v="479"/>
    <n v="3.6"/>
    <n v="221580"/>
  </r>
  <r>
    <x v="9"/>
    <s v="370Z Nismo"/>
    <n v="2020"/>
    <n v="3.7"/>
    <n v="350"/>
    <n v="276"/>
    <n v="4.7"/>
    <n v="47190"/>
  </r>
  <r>
    <x v="0"/>
    <s v="Boxster"/>
    <n v="2021"/>
    <n v="2"/>
    <n v="300"/>
    <n v="280"/>
    <n v="4.9000000000000004"/>
    <n v="62000"/>
  </r>
  <r>
    <x v="0"/>
    <s v="718 Cayman"/>
    <n v="2022"/>
    <n v="2"/>
    <n v="300"/>
    <n v="280"/>
    <n v="4.9000000000000004"/>
    <n v="61500"/>
  </r>
  <r>
    <x v="1"/>
    <s v="Aventador"/>
    <n v="2021"/>
    <n v="6.5"/>
    <n v="759"/>
    <n v="531"/>
    <n v="2.9"/>
    <n v="393695"/>
  </r>
  <r>
    <x v="2"/>
    <s v="Roma"/>
    <n v="2021"/>
    <n v="3.9"/>
    <n v="612"/>
    <n v="561"/>
    <n v="3.3"/>
    <n v="222630"/>
  </r>
  <r>
    <x v="3"/>
    <s v="RS 5"/>
    <n v="2022"/>
    <n v="2.9"/>
    <n v="444"/>
    <n v="442"/>
    <n v="3.5"/>
    <n v="75400"/>
  </r>
  <r>
    <x v="4"/>
    <s v="570S"/>
    <n v="2020"/>
    <n v="3.8"/>
    <n v="562"/>
    <n v="443"/>
    <n v="3.1"/>
    <n v="208000"/>
  </r>
  <r>
    <x v="5"/>
    <s v="M2"/>
    <n v="2022"/>
    <n v="3"/>
    <n v="405"/>
    <n v="406"/>
    <n v="4.2"/>
    <n v="58900"/>
  </r>
  <r>
    <x v="6"/>
    <s v="SL"/>
    <n v="2022"/>
    <n v="3"/>
    <n v="429"/>
    <n v="384"/>
    <n v="4.9000000000000004"/>
    <n v="96250"/>
  </r>
  <r>
    <x v="7"/>
    <s v="Camaro"/>
    <n v="2021"/>
    <n v="6.2"/>
    <n v="455"/>
    <n v="455"/>
    <n v="4"/>
    <n v="25000"/>
  </r>
  <r>
    <x v="8"/>
    <s v="GT"/>
    <n v="2022"/>
    <n v="3.5"/>
    <n v="660"/>
    <n v="550"/>
    <n v="3"/>
    <n v="500000"/>
  </r>
  <r>
    <x v="9"/>
    <s v="370Z Nismo"/>
    <n v="2021"/>
    <n v="3.7"/>
    <n v="350"/>
    <n v="276"/>
    <n v="5"/>
    <n v="45000"/>
  </r>
  <r>
    <x v="10"/>
    <s v="DBS Superleggera"/>
    <n v="2021"/>
    <n v="5.2"/>
    <n v="715"/>
    <n v="664"/>
    <n v="3.4"/>
    <n v="307820"/>
  </r>
  <r>
    <x v="16"/>
    <s v="Evora GT"/>
    <n v="2021"/>
    <n v="3.5"/>
    <n v="416"/>
    <n v="317"/>
    <n v="3.8"/>
    <n v="100450"/>
  </r>
  <r>
    <x v="17"/>
    <s v="GranTurismo"/>
    <n v="2021"/>
    <n v="4.7"/>
    <n v="454"/>
    <n v="384"/>
    <n v="4.7"/>
    <n v="134300"/>
  </r>
  <r>
    <x v="0"/>
    <s v="Panamera"/>
    <n v="2022"/>
    <n v="2.9"/>
    <n v="325"/>
    <n v="331"/>
    <n v="5.2"/>
    <n v="88550"/>
  </r>
  <r>
    <x v="1"/>
    <s v="Urus"/>
    <n v="2021"/>
    <n v="4"/>
    <n v="641"/>
    <n v="627"/>
    <n v="3.6"/>
    <n v="218009"/>
  </r>
  <r>
    <x v="2"/>
    <s v="SF90 Stradale"/>
    <n v="2021"/>
    <n v="4"/>
    <n v="986"/>
    <n v="590"/>
    <n v="2.5"/>
    <n v="625000"/>
  </r>
  <r>
    <x v="3"/>
    <s v="RS 6"/>
    <n v="2022"/>
    <n v="4"/>
    <n v="591"/>
    <n v="590"/>
    <n v="3.5"/>
    <n v="109000"/>
  </r>
  <r>
    <x v="4"/>
    <s v="Artura"/>
    <n v="2022"/>
    <n v="3"/>
    <n v="671"/>
    <n v="531"/>
    <n v="3"/>
    <n v="225000"/>
  </r>
  <r>
    <x v="0"/>
    <s v="Taycan 4S"/>
    <n v="2021"/>
    <s v="Electric (93 kWh)"/>
    <n v="429"/>
    <n v="472"/>
    <n v="3.8"/>
    <n v="103800"/>
  </r>
  <r>
    <x v="1"/>
    <s v="Aventador S"/>
    <n v="2021"/>
    <n v="6.5"/>
    <n v="730"/>
    <n v="509"/>
    <n v="2.9"/>
    <n v="417650"/>
  </r>
  <r>
    <x v="2"/>
    <s v="SF90 Stradale"/>
    <n v="2021"/>
    <n v="4"/>
    <n v="986"/>
    <n v="590"/>
    <n v="2.5"/>
    <n v="625000"/>
  </r>
  <r>
    <x v="3"/>
    <s v="RS 7"/>
    <n v="2022"/>
    <n v="4"/>
    <n v="591"/>
    <n v="590"/>
    <n v="3.5"/>
    <n v="117000"/>
  </r>
  <r>
    <x v="4"/>
    <s v="570S"/>
    <n v="2021"/>
    <n v="3.8"/>
    <n v="562"/>
    <n v="443"/>
    <n v="3.1"/>
    <n v="192500"/>
  </r>
  <r>
    <x v="5"/>
    <s v="M4"/>
    <n v="2021"/>
    <n v="3"/>
    <n v="473"/>
    <n v="406"/>
    <n v="4"/>
    <n v="72800"/>
  </r>
  <r>
    <x v="6"/>
    <s v="SLS AMG"/>
    <n v="2015"/>
    <n v="6.2"/>
    <n v="622"/>
    <n v="468"/>
    <n v="3.5"/>
    <n v="228000"/>
  </r>
  <r>
    <x v="7"/>
    <s v="Camaro SS"/>
    <n v="2021"/>
    <n v="6.2"/>
    <n v="455"/>
    <n v="455"/>
    <n v="4"/>
    <n v="42000"/>
  </r>
  <r>
    <x v="8"/>
    <s v="GT"/>
    <n v="2021"/>
    <n v="3.5"/>
    <n v="660"/>
    <n v="550"/>
    <n v="3"/>
    <n v="500000"/>
  </r>
  <r>
    <x v="9"/>
    <s v="370Z Nismo"/>
    <n v="2021"/>
    <n v="3.7"/>
    <n v="350"/>
    <n v="276"/>
    <n v="5"/>
    <n v="48000"/>
  </r>
  <r>
    <x v="10"/>
    <s v="DBS Superleggera"/>
    <n v="2021"/>
    <n v="5.2"/>
    <n v="715"/>
    <n v="664"/>
    <n v="3.2"/>
    <n v="307820"/>
  </r>
  <r>
    <x v="15"/>
    <s v="LC 500"/>
    <n v="2021"/>
    <n v="5"/>
    <n v="471"/>
    <n v="398"/>
    <n v="4.4000000000000004"/>
    <n v="93000"/>
  </r>
  <r>
    <x v="20"/>
    <s v="Continental GT"/>
    <n v="2021"/>
    <n v="4"/>
    <n v="626"/>
    <n v="664"/>
    <n v="3.3"/>
    <n v="202500"/>
  </r>
  <r>
    <x v="17"/>
    <s v="GranTurismo"/>
    <n v="2021"/>
    <n v="4.7"/>
    <n v="454"/>
    <n v="384"/>
    <n v="4.7"/>
    <n v="150980"/>
  </r>
  <r>
    <x v="28"/>
    <s v="Model S Plaid"/>
    <n v="2022"/>
    <s v="Electric (100 kWh)"/>
    <n v="1020"/>
    <n v="1050"/>
    <n v="1.98"/>
    <n v="131190"/>
  </r>
  <r>
    <x v="27"/>
    <s v="Dawn"/>
    <n v="2021"/>
    <n v="6.6"/>
    <n v="563"/>
    <n v="605"/>
    <n v="4.3"/>
    <n v="346300"/>
  </r>
  <r>
    <x v="11"/>
    <s v="Chiron Pur Sport"/>
    <n v="2021"/>
    <n v="8"/>
    <n v="1500"/>
    <n v="1180"/>
    <n v="2.2999999999999998"/>
    <n v="3599000"/>
  </r>
  <r>
    <x v="4"/>
    <s v="Senna"/>
    <n v="2019"/>
    <n v="4"/>
    <n v="789"/>
    <n v="590"/>
    <n v="2.7"/>
    <n v="1050000"/>
  </r>
  <r>
    <x v="0"/>
    <s v="Panamera Turbo S E-Hybrid"/>
    <n v="2021"/>
    <s v="Hybrid (4.0)"/>
    <n v="690"/>
    <n v="641"/>
    <n v="3"/>
    <n v="186350"/>
  </r>
  <r>
    <x v="25"/>
    <s v="NSX"/>
    <n v="2021"/>
    <n v="3.5"/>
    <n v="573"/>
    <n v="476"/>
    <n v="2.7"/>
    <n v="157500"/>
  </r>
  <r>
    <x v="10"/>
    <s v="DB11"/>
    <n v="2021"/>
    <n v="4"/>
    <n v="503"/>
    <n v="498"/>
    <n v="3.7"/>
    <n v="205600"/>
  </r>
  <r>
    <x v="3"/>
    <s v="RS7"/>
    <n v="2021"/>
    <n v="4"/>
    <n v="591"/>
    <n v="590"/>
    <n v="3.5"/>
    <n v="114000"/>
  </r>
  <r>
    <x v="20"/>
    <s v="Continental GT"/>
    <n v="2021"/>
    <n v="6"/>
    <n v="626"/>
    <n v="664"/>
    <n v="3.6"/>
    <n v="201000"/>
  </r>
  <r>
    <x v="11"/>
    <s v="Chiron"/>
    <n v="2021"/>
    <n v="8"/>
    <n v="1500"/>
    <n v="1180"/>
    <n v="2.5"/>
    <n v="3000000"/>
  </r>
  <r>
    <x v="7"/>
    <s v="Camaro ZL1"/>
    <n v="2022"/>
    <n v="6.2"/>
    <n v="650"/>
    <n v="650"/>
    <n v="3.5"/>
    <n v="67000"/>
  </r>
  <r>
    <x v="12"/>
    <s v="Challenger Hellcat"/>
    <n v="2021"/>
    <n v="6.2"/>
    <n v="717"/>
    <n v="656"/>
    <n v="3.5"/>
    <n v="64000"/>
  </r>
  <r>
    <x v="2"/>
    <s v="812 Superfast"/>
    <n v="2021"/>
    <n v="6.5"/>
    <n v="789"/>
    <n v="530"/>
    <n v="2.8"/>
    <n v="340000"/>
  </r>
  <r>
    <x v="1"/>
    <s v="Aventador SVJ"/>
    <n v="2021"/>
    <n v="6.5"/>
    <n v="770"/>
    <n v="531"/>
    <n v="2.8"/>
    <n v="517770"/>
  </r>
  <r>
    <x v="4"/>
    <s v="600LT Spider"/>
    <n v="2021"/>
    <n v="3.8"/>
    <n v="592"/>
    <n v="457"/>
    <n v="2.8"/>
    <n v="256500"/>
  </r>
  <r>
    <x v="21"/>
    <s v="GT Black Series"/>
    <n v="2021"/>
    <n v="4"/>
    <n v="720"/>
    <n v="590"/>
    <n v="3.1"/>
    <n v="325000"/>
  </r>
  <r>
    <x v="9"/>
    <s v="400Z"/>
    <n v="2023"/>
    <n v="3"/>
    <n v="400"/>
    <n v="350"/>
    <n v="4"/>
    <n v="40000"/>
  </r>
  <r>
    <x v="0"/>
    <s v="Cayman GT4"/>
    <n v="2021"/>
    <n v="4"/>
    <n v="414"/>
    <n v="309"/>
    <n v="4.2"/>
    <n v="101000"/>
  </r>
  <r>
    <x v="24"/>
    <s v="Nevera"/>
    <n v="2021"/>
    <s v="Electric"/>
    <n v="1914"/>
    <n v="1696"/>
    <n v="1.9"/>
    <n v="2400000"/>
  </r>
  <r>
    <x v="27"/>
    <s v="Wraith"/>
    <n v="2021"/>
    <n v="6.8"/>
    <n v="624"/>
    <n v="605"/>
    <n v="4.4000000000000004"/>
    <n v="330000"/>
  </r>
  <r>
    <x v="28"/>
    <s v="Model S Plaid"/>
    <n v="2021"/>
    <s v="Electric"/>
    <n v="1020"/>
    <s v="N/A"/>
    <n v="1.9"/>
    <n v="139990"/>
  </r>
  <r>
    <x v="29"/>
    <s v="Supra"/>
    <n v="2021"/>
    <n v="3"/>
    <n v="382"/>
    <n v="368"/>
    <n v="3.9"/>
    <n v="43000"/>
  </r>
  <r>
    <x v="0"/>
    <s v="718 Boxster"/>
    <n v="2021"/>
    <n v="2"/>
    <n v="300"/>
    <n v="280"/>
    <n v="4.9000000000000004"/>
    <n v="62000"/>
  </r>
  <r>
    <x v="0"/>
    <s v="718 Boxster"/>
    <n v="2022"/>
    <n v="2"/>
    <n v="300"/>
    <n v="280"/>
    <n v="4.9000000000000004"/>
    <n v="62000"/>
  </r>
  <r>
    <x v="1"/>
    <s v="Aventador S"/>
    <n v="2021"/>
    <n v="6.5"/>
    <n v="730"/>
    <n v="509"/>
    <n v="2.9"/>
    <n v="417826"/>
  </r>
  <r>
    <x v="2"/>
    <s v="SF90 Stradale"/>
    <n v="2022"/>
    <n v="4"/>
    <n v="986"/>
    <n v="590"/>
    <n v="2.5"/>
    <n v="625000"/>
  </r>
  <r>
    <x v="3"/>
    <s v="RS 7"/>
    <n v="2022"/>
    <n v="4"/>
    <n v="591"/>
    <n v="590"/>
    <n v="3.5"/>
    <n v="114000"/>
  </r>
  <r>
    <x v="4"/>
    <s v="Artura"/>
    <n v="2021"/>
    <n v="3"/>
    <n v="671"/>
    <n v="531"/>
    <n v="3"/>
    <n v="225000"/>
  </r>
  <r>
    <x v="5"/>
    <s v="M2"/>
    <n v="2022"/>
    <n v="3"/>
    <n v="405"/>
    <n v="406"/>
    <n v="4.0999999999999996"/>
    <n v="58900"/>
  </r>
  <r>
    <x v="6"/>
    <s v="SLS AMG"/>
    <n v="2015"/>
    <n v="6.2"/>
    <n v="583"/>
    <n v="479"/>
    <n v="3.6"/>
    <n v="221580"/>
  </r>
  <r>
    <x v="7"/>
    <s v="Camaro ZL1"/>
    <n v="2021"/>
    <n v="6.2"/>
    <n v="650"/>
    <n v="650"/>
    <n v="3.5"/>
    <n v="64695"/>
  </r>
  <r>
    <x v="8"/>
    <s v="GT"/>
    <n v="2022"/>
    <n v="3.5"/>
    <n v="647"/>
    <n v="550"/>
    <n v="3"/>
    <n v="500000"/>
  </r>
  <r>
    <x v="9"/>
    <s v="370Z Nismo"/>
    <n v="2021"/>
    <n v="3.7"/>
    <n v="350"/>
    <n v="276"/>
    <n v="4.8"/>
    <n v="45000"/>
  </r>
  <r>
    <x v="12"/>
    <s v="Charger Hellcat"/>
    <n v="2021"/>
    <n v="6.2"/>
    <n v="707"/>
    <n v="650"/>
    <n v="3.6"/>
    <n v="69995"/>
  </r>
  <r>
    <x v="10"/>
    <s v="DBS Superleggera"/>
    <n v="2021"/>
    <n v="5.2"/>
    <n v="715"/>
    <n v="663"/>
    <n v="3.2"/>
    <n v="305000"/>
  </r>
  <r>
    <x v="18"/>
    <s v="Giulia Quadrifoglio"/>
    <n v="2021"/>
    <n v="2.9"/>
    <n v="505"/>
    <n v="443"/>
    <n v="3.8"/>
    <n v="75000"/>
  </r>
  <r>
    <x v="3"/>
    <s v="TT RS"/>
    <n v="2021"/>
    <n v="2.5"/>
    <n v="394"/>
    <n v="354"/>
    <n v="3.6"/>
    <n v="68000"/>
  </r>
  <r>
    <x v="20"/>
    <s v="Continental GT"/>
    <n v="2021"/>
    <n v="6"/>
    <n v="626"/>
    <n v="664"/>
    <n v="3.6"/>
    <n v="203825"/>
  </r>
  <r>
    <x v="5"/>
    <s v="M5"/>
    <n v="2022"/>
    <n v="4.4000000000000004"/>
    <n v="600"/>
    <n v="553"/>
    <n v="3.2"/>
    <n v="103500"/>
  </r>
  <r>
    <x v="7"/>
    <s v="Corvette Stingray"/>
    <n v="2021"/>
    <n v="6.2"/>
    <n v="495"/>
    <n v="470"/>
    <n v="2.9"/>
    <n v="58900"/>
  </r>
  <r>
    <x v="12"/>
    <s v="Challenger SRT Hellcat"/>
    <n v="2021"/>
    <n v="6.2"/>
    <n v="717"/>
    <n v="656"/>
    <n v="3.5"/>
    <n v="63000"/>
  </r>
  <r>
    <x v="8"/>
    <s v="Mustang GT"/>
    <n v="2022"/>
    <n v="5"/>
    <n v="460"/>
    <n v="420"/>
    <n v="4"/>
    <n v="45000"/>
  </r>
  <r>
    <x v="0"/>
    <s v="Cayman"/>
    <n v="2022"/>
    <n v="2"/>
    <n v="300"/>
    <n v="280"/>
    <n v="4.9000000000000004"/>
    <n v="59900"/>
  </r>
  <r>
    <x v="1"/>
    <s v="Aventador"/>
    <n v="2021"/>
    <n v="6.5"/>
    <n v="770"/>
    <n v="531"/>
    <n v="2.8"/>
    <n v="417826"/>
  </r>
  <r>
    <x v="2"/>
    <s v="Roma"/>
    <n v="2022"/>
    <n v="3.9"/>
    <n v="612"/>
    <n v="560"/>
    <n v="3.3"/>
    <n v="222630"/>
  </r>
  <r>
    <x v="3"/>
    <s v="RS7"/>
    <n v="2022"/>
    <n v="4"/>
    <n v="591"/>
    <n v="590"/>
    <n v="3.5"/>
    <n v="114000"/>
  </r>
  <r>
    <x v="4"/>
    <s v="570S"/>
    <n v="2021"/>
    <n v="3.8"/>
    <n v="562"/>
    <n v="443"/>
    <n v="2.7"/>
    <n v="204995"/>
  </r>
  <r>
    <x v="5"/>
    <s v="M4"/>
    <n v="2022"/>
    <n v="3"/>
    <n v="473"/>
    <n v="406"/>
    <n v="4.0999999999999996"/>
    <n v="71800"/>
  </r>
  <r>
    <x v="6"/>
    <s v="SLS AMG"/>
    <n v="2021"/>
    <n v="6.2"/>
    <n v="622"/>
    <n v="468"/>
    <n v="3.5"/>
    <n v="243600"/>
  </r>
  <r>
    <x v="7"/>
    <s v="Camaro SS"/>
    <n v="2021"/>
    <n v="6.2"/>
    <n v="455"/>
    <n v="455"/>
    <n v="4"/>
    <n v="42000"/>
  </r>
  <r>
    <x v="8"/>
    <s v="GT"/>
    <n v="2022"/>
    <n v="3.5"/>
    <n v="660"/>
    <n v="550"/>
    <n v="2.8"/>
    <n v="500000"/>
  </r>
  <r>
    <x v="9"/>
    <s v="370Z Nismo"/>
    <n v="2021"/>
    <n v="3.7"/>
    <n v="350"/>
    <n v="276"/>
    <n v="5"/>
    <n v="47190"/>
  </r>
  <r>
    <x v="0"/>
    <s v="Panamera"/>
    <n v="2022"/>
    <n v="2.9"/>
    <n v="325"/>
    <n v="331"/>
    <n v="5.4"/>
    <n v="88550"/>
  </r>
  <r>
    <x v="1"/>
    <s v="Urus"/>
    <n v="2021"/>
    <n v="4"/>
    <n v="641"/>
    <n v="627"/>
    <n v="3.2"/>
    <n v="218000"/>
  </r>
  <r>
    <x v="2"/>
    <s v="SF90 Stradale"/>
    <n v="2021"/>
    <n v="4"/>
    <n v="986"/>
    <n v="590"/>
    <n v="2.5"/>
    <n v="625000"/>
  </r>
  <r>
    <x v="3"/>
    <s v="RS6"/>
    <n v="2022"/>
    <n v="4"/>
    <n v="591"/>
    <n v="590"/>
    <n v="3.5"/>
    <n v="113000"/>
  </r>
  <r>
    <x v="4"/>
    <s v="Artura"/>
    <n v="2021"/>
    <n v="3"/>
    <n v="671"/>
    <n v="531"/>
    <n v="3"/>
    <n v="225000"/>
  </r>
  <r>
    <x v="5"/>
    <s v="M2"/>
    <n v="2022"/>
    <n v="3"/>
    <n v="405"/>
    <n v="406"/>
    <n v="4"/>
    <n v="58900"/>
  </r>
  <r>
    <x v="6"/>
    <s v="GT 63"/>
    <n v="2021"/>
    <n v="4"/>
    <n v="577"/>
    <n v="590"/>
    <n v="3.3"/>
    <n v="161200"/>
  </r>
  <r>
    <x v="7"/>
    <s v="Camaro ZL1"/>
    <n v="2021"/>
    <n v="6.2"/>
    <n v="650"/>
    <n v="650"/>
    <n v="3.5"/>
    <n v="63000"/>
  </r>
  <r>
    <x v="10"/>
    <s v="DBS Superleggera"/>
    <n v="2021"/>
    <n v="5.2"/>
    <n v="715"/>
    <n v="663"/>
    <n v="3.2"/>
    <n v="310000"/>
  </r>
  <r>
    <x v="11"/>
    <s v="Chiron"/>
    <n v="2022"/>
    <n v="8"/>
    <n v="1500"/>
    <n v="1180"/>
    <n v="2.4"/>
    <n v="3000000"/>
  </r>
  <r>
    <x v="14"/>
    <s v="Jesko"/>
    <n v="2021"/>
    <n v="5"/>
    <n v="1280"/>
    <n v="1106"/>
    <n v="2.5"/>
    <n v="2800000"/>
  </r>
  <r>
    <x v="22"/>
    <s v="Huayra"/>
    <n v="2021"/>
    <n v="6"/>
    <n v="764"/>
    <n v="737"/>
    <n v="3"/>
    <n v="2600000"/>
  </r>
  <r>
    <x v="24"/>
    <s v="C_Two"/>
    <n v="2022"/>
    <s v="N/A"/>
    <n v="1914"/>
    <n v="1696"/>
    <n v="1.85"/>
    <n v="2400000"/>
  </r>
  <r>
    <x v="4"/>
    <s v="Senna"/>
    <n v="2021"/>
    <n v="4"/>
    <n v="789"/>
    <n v="590"/>
    <n v="2.7"/>
    <n v="1000000"/>
  </r>
  <r>
    <x v="0"/>
    <s v="918 Spyder"/>
    <n v="2015"/>
    <n v="4.5999999999999996"/>
    <n v="887"/>
    <n v="944"/>
    <n v="2.2000000000000002"/>
    <n v="1800000"/>
  </r>
  <r>
    <x v="2"/>
    <s v="SF90 Stradale"/>
    <n v="2021"/>
    <n v="4"/>
    <n v="986"/>
    <n v="590"/>
    <n v="2.5"/>
    <n v="625000"/>
  </r>
  <r>
    <x v="1"/>
    <s v="Aventador SVJ"/>
    <n v="2020"/>
    <n v="6.5"/>
    <n v="759"/>
    <n v="531"/>
    <n v="2.8"/>
    <n v="517000"/>
  </r>
  <r>
    <x v="3"/>
    <s v="RS 6 Avant"/>
    <n v="2021"/>
    <n v="4"/>
    <n v="591"/>
    <n v="590"/>
    <n v="3.5"/>
    <n v="110000"/>
  </r>
  <r>
    <x v="20"/>
    <s v="Continental GT Speed"/>
    <n v="2022"/>
    <n v="6"/>
    <n v="650"/>
    <n v="664"/>
    <n v="3.5"/>
    <n v="300000"/>
  </r>
  <r>
    <x v="7"/>
    <s v="Camaro ZL1"/>
    <n v="2021"/>
    <n v="6.2"/>
    <n v="650"/>
    <n v="650"/>
    <n v="3.5"/>
    <n v="68000"/>
  </r>
  <r>
    <x v="12"/>
    <s v="Challenger SRT Hellcat"/>
    <n v="2021"/>
    <n v="6.2"/>
    <n v="717"/>
    <n v="656"/>
    <n v="3.5"/>
    <n v="65000"/>
  </r>
  <r>
    <x v="8"/>
    <s v="GT"/>
    <n v="2021"/>
    <n v="3.5"/>
    <n v="660"/>
    <n v="550"/>
    <n v="2.9"/>
    <n v="500000"/>
  </r>
  <r>
    <x v="15"/>
    <s v="LC 500"/>
    <n v="2022"/>
    <n v="5"/>
    <n v="471"/>
    <n v="398"/>
    <n v="4.4000000000000004"/>
    <n v="92000"/>
  </r>
  <r>
    <x v="16"/>
    <s v="Evija"/>
    <n v="2022"/>
    <s v="N/A"/>
    <n v="1972"/>
    <n v="1254"/>
    <n v="2.5"/>
    <n v="2700000"/>
  </r>
  <r>
    <x v="21"/>
    <s v="GT Black Series"/>
    <n v="2021"/>
    <n v="4"/>
    <n v="720"/>
    <n v="590"/>
    <n v="3.1"/>
    <n v="330000"/>
  </r>
  <r>
    <x v="10"/>
    <s v="DB11"/>
    <n v="2021"/>
    <n v="4"/>
    <n v="503"/>
    <n v="513"/>
    <n v="3.9"/>
    <n v="205000"/>
  </r>
  <r>
    <x v="20"/>
    <s v="Continental GT"/>
    <n v="2022"/>
    <n v="4"/>
    <n v="542"/>
    <n v="568"/>
    <n v="3.9"/>
    <n v="229000"/>
  </r>
  <r>
    <x v="13"/>
    <s v="F-Type"/>
    <n v="2022"/>
    <n v="2"/>
    <n v="296"/>
    <n v="295"/>
    <n v="5.4"/>
    <n v="62750"/>
  </r>
  <r>
    <x v="16"/>
    <s v="Evora GT"/>
    <n v="2021"/>
    <n v="3.5"/>
    <n v="416"/>
    <n v="317"/>
    <n v="3.8"/>
    <n v="100000"/>
  </r>
  <r>
    <x v="17"/>
    <s v="GranTurismo"/>
    <n v="2021"/>
    <n v="4.7"/>
    <n v="454"/>
    <n v="384"/>
    <n v="4.7"/>
    <n v="135000"/>
  </r>
  <r>
    <x v="0"/>
    <s v="Boxster"/>
    <n v="2022"/>
    <n v="2"/>
    <n v="300"/>
    <n v="280"/>
    <n v="4.9000000000000004"/>
    <n v="63000"/>
  </r>
  <r>
    <x v="18"/>
    <s v="4C"/>
    <n v="2020"/>
    <n v="1.8"/>
    <n v="237"/>
    <n v="258"/>
    <n v="4.2"/>
    <n v="67150"/>
  </r>
  <r>
    <x v="7"/>
    <s v="Camaro"/>
    <n v="2022"/>
    <n v="6.2"/>
    <n v="455"/>
    <n v="455"/>
    <n v="4"/>
    <n v="62195"/>
  </r>
  <r>
    <x v="12"/>
    <s v="Challenger"/>
    <n v="2022"/>
    <n v="3.6"/>
    <n v="305"/>
    <n v="268"/>
    <n v="6.4"/>
    <n v="28000"/>
  </r>
  <r>
    <x v="8"/>
    <s v="GT"/>
    <n v="2022"/>
    <n v="3.5"/>
    <n v="660"/>
    <n v="550"/>
    <n v="2.9"/>
    <n v="500000"/>
  </r>
  <r>
    <x v="3"/>
    <s v="RS7"/>
    <n v="2022"/>
    <n v="4"/>
    <n v="591"/>
    <n v="590"/>
    <n v="3.5"/>
    <n v="115045"/>
  </r>
  <r>
    <x v="5"/>
    <s v="M4"/>
    <n v="2022"/>
    <n v="3"/>
    <n v="473"/>
    <n v="406"/>
    <n v="4.0999999999999996"/>
    <n v="71800"/>
  </r>
  <r>
    <x v="1"/>
    <s v="Aventador"/>
    <n v="2021"/>
    <n v="6.5"/>
    <n v="729"/>
    <n v="507"/>
    <n v="2.9"/>
    <n v="393695"/>
  </r>
  <r>
    <x v="6"/>
    <s v="AMG C 63"/>
    <n v="2021"/>
    <n v="4"/>
    <n v="469"/>
    <n v="479"/>
    <n v="3.8"/>
    <n v="69900"/>
  </r>
  <r>
    <x v="9"/>
    <s v="370Z"/>
    <n v="2021"/>
    <n v="3.7"/>
    <n v="350"/>
    <n v="276"/>
    <n v="5.3"/>
    <n v="30090"/>
  </r>
  <r>
    <x v="0"/>
    <s v="Cayman"/>
    <n v="2022"/>
    <n v="2"/>
    <n v="300"/>
    <n v="280"/>
    <n v="4.9000000000000004"/>
    <n v="68000"/>
  </r>
  <r>
    <x v="5"/>
    <s v="i8"/>
    <n v="2022"/>
    <n v="1.5"/>
    <n v="369"/>
    <n v="184"/>
    <n v="4.2"/>
    <n v="147500"/>
  </r>
  <r>
    <x v="7"/>
    <s v="Corvette Stingray"/>
    <n v="2021"/>
    <n v="6.2"/>
    <n v="495"/>
    <n v="470"/>
    <n v="2.9"/>
    <n v="58900"/>
  </r>
  <r>
    <x v="0"/>
    <s v="Taycan Turbo S"/>
    <n v="2022"/>
    <s v="Electric"/>
    <n v="750"/>
    <n v="774"/>
    <n v="2.6"/>
    <n v="185000"/>
  </r>
  <r>
    <x v="1"/>
    <s v="Aventador S"/>
    <n v="2021"/>
    <n v="6.5"/>
    <n v="729"/>
    <n v="507"/>
    <n v="2.9"/>
    <n v="417650"/>
  </r>
  <r>
    <x v="2"/>
    <s v="SF90 Stradale"/>
    <n v="2022"/>
    <n v="4"/>
    <n v="986"/>
    <n v="590"/>
    <n v="2.5"/>
    <n v="625000"/>
  </r>
  <r>
    <x v="3"/>
    <s v="RS7"/>
    <n v="2022"/>
    <n v="4"/>
    <n v="591"/>
    <n v="590"/>
    <n v="3.5"/>
    <n v="115000"/>
  </r>
  <r>
    <x v="4"/>
    <s v="GT"/>
    <n v="2022"/>
    <n v="4"/>
    <n v="620"/>
    <n v="465"/>
    <n v="3.1"/>
    <n v="208000"/>
  </r>
  <r>
    <x v="5"/>
    <s v="M5"/>
    <n v="2022"/>
    <n v="4.4000000000000004"/>
    <n v="600"/>
    <n v="553"/>
    <n v="3.2"/>
    <n v="103500"/>
  </r>
  <r>
    <x v="6"/>
    <s v="SLS AMG"/>
    <n v="2021"/>
    <n v="4"/>
    <n v="730"/>
    <n v="590"/>
    <n v="2.9"/>
    <n v="250000"/>
  </r>
  <r>
    <x v="7"/>
    <s v="Camaro ZL1"/>
    <n v="2021"/>
    <n v="6.2"/>
    <n v="650"/>
    <n v="650"/>
    <n v="3.5"/>
    <n v="63000"/>
  </r>
  <r>
    <x v="8"/>
    <s v="GT"/>
    <n v="2022"/>
    <n v="3.5"/>
    <n v="660"/>
    <n v="550"/>
    <n v="2.8"/>
    <n v="500000"/>
  </r>
  <r>
    <x v="9"/>
    <s v="370Z Nismo"/>
    <n v="2021"/>
    <n v="3.7"/>
    <n v="350"/>
    <n v="276"/>
    <n v="5"/>
    <n v="46100"/>
  </r>
  <r>
    <x v="0"/>
    <s v="Panamera Turbo S"/>
    <n v="2022"/>
    <n v="4"/>
    <n v="630"/>
    <n v="604"/>
    <n v="3.1"/>
    <n v="180000"/>
  </r>
  <r>
    <x v="1"/>
    <s v="Urus"/>
    <n v="2021"/>
    <n v="4"/>
    <n v="641"/>
    <n v="627"/>
    <n v="3.2"/>
    <n v="218000"/>
  </r>
  <r>
    <x v="2"/>
    <s v="Portofino"/>
    <n v="2022"/>
    <n v="3.9"/>
    <n v="591"/>
    <n v="561"/>
    <n v="3.4"/>
    <n v="250000"/>
  </r>
  <r>
    <x v="3"/>
    <s v="TT RS"/>
    <n v="2022"/>
    <n v="2.5"/>
    <n v="394"/>
    <n v="354"/>
    <n v="3.6"/>
    <n v="70000"/>
  </r>
  <r>
    <x v="4"/>
    <s v="570S"/>
    <n v="2021"/>
    <n v="3.8"/>
    <n v="562"/>
    <n v="443"/>
    <n v="3.1"/>
    <n v="200000"/>
  </r>
  <r>
    <x v="5"/>
    <s v="i8"/>
    <n v="2022"/>
    <s v="Hybrid"/>
    <n v="369"/>
    <n v="184"/>
    <n v="4.2"/>
    <n v="148500"/>
  </r>
  <r>
    <x v="0"/>
    <s v="718 Cayman"/>
    <n v="2022"/>
    <n v="2"/>
    <n v="300"/>
    <n v="280"/>
    <n v="4.9000000000000004"/>
    <n v="61500"/>
  </r>
  <r>
    <x v="1"/>
    <s v="Aventador"/>
    <n v="2021"/>
    <n v="6.5"/>
    <n v="770"/>
    <n v="531"/>
    <n v="2.8"/>
    <n v="417826"/>
  </r>
  <r>
    <x v="2"/>
    <s v="Portofino"/>
    <n v="2022"/>
    <n v="3.9"/>
    <n v="612"/>
    <n v="561"/>
    <n v="3.3"/>
    <n v="245000"/>
  </r>
  <r>
    <x v="3"/>
    <s v="TT RS"/>
    <n v="2022"/>
    <n v="2.5"/>
    <n v="394"/>
    <n v="354"/>
    <n v="3.6"/>
    <n v="67800"/>
  </r>
  <r>
    <x v="4"/>
    <s v="GT"/>
    <n v="2022"/>
    <n v="4"/>
    <n v="620"/>
    <n v="465"/>
    <n v="3.1"/>
    <n v="211300"/>
  </r>
  <r>
    <x v="5"/>
    <s v="M4"/>
    <n v="2022"/>
    <n v="3"/>
    <n v="473"/>
    <n v="406"/>
    <n v="4.0999999999999996"/>
    <n v="71800"/>
  </r>
  <r>
    <x v="6"/>
    <s v="SLS AMG"/>
    <n v="2015"/>
    <n v="6.2"/>
    <n v="622"/>
    <n v="468"/>
    <n v="3.5"/>
    <n v="222500"/>
  </r>
  <r>
    <x v="7"/>
    <s v="Camaro SS"/>
    <n v="2022"/>
    <n v="6.2"/>
    <n v="455"/>
    <n v="455"/>
    <n v="4"/>
    <n v="43995"/>
  </r>
  <r>
    <x v="8"/>
    <s v="GT"/>
    <n v="2022"/>
    <n v="3.5"/>
    <n v="660"/>
    <n v="550"/>
    <n v="2.9"/>
    <n v="500000"/>
  </r>
  <r>
    <x v="9"/>
    <s v="370Z Nismo"/>
    <n v="2021"/>
    <n v="3.7"/>
    <n v="350"/>
    <n v="276"/>
    <n v="4.8"/>
    <n v="45790"/>
  </r>
  <r>
    <x v="0"/>
    <s v="911 Turbo S"/>
    <n v="2022"/>
    <n v="3.8"/>
    <n v="640"/>
    <n v="590"/>
    <n v="2.6"/>
    <n v="208000"/>
  </r>
  <r>
    <x v="4"/>
    <s v="765LT"/>
    <n v="2021"/>
    <n v="4"/>
    <n v="755"/>
    <n v="590"/>
    <n v="2.8"/>
    <n v="358000"/>
  </r>
  <r>
    <x v="1"/>
    <s v="Urus"/>
    <n v="2021"/>
    <n v="4"/>
    <n v="641"/>
    <n v="627"/>
    <n v="3.6"/>
    <n v="218009"/>
  </r>
  <r>
    <x v="21"/>
    <s v="GT Black Series"/>
    <n v="2021"/>
    <n v="4"/>
    <n v="720"/>
    <n v="590"/>
    <n v="3.1"/>
    <n v="325000"/>
  </r>
  <r>
    <x v="5"/>
    <s v="M5 Competition"/>
    <n v="2022"/>
    <n v="4.4000000000000004"/>
    <n v="617"/>
    <n v="553"/>
    <n v="3.1"/>
    <n v="103500"/>
  </r>
  <r>
    <x v="3"/>
    <s v="RS7"/>
    <n v="2022"/>
    <n v="4"/>
    <n v="591"/>
    <n v="590"/>
    <n v="3.5"/>
    <n v="115000"/>
  </r>
  <r>
    <x v="10"/>
    <s v="Vantage"/>
    <n v="2022"/>
    <n v="4"/>
    <n v="503"/>
    <n v="505"/>
    <n v="3.5"/>
    <n v="152995"/>
  </r>
  <r>
    <x v="2"/>
    <s v="F8 Spider"/>
    <n v="2021"/>
    <n v="3.9"/>
    <n v="710"/>
    <n v="568"/>
    <n v="2.9"/>
    <n v="274280"/>
  </r>
  <r>
    <x v="15"/>
    <s v="LC 500"/>
    <n v="2022"/>
    <n v="5"/>
    <n v="471"/>
    <n v="398"/>
    <n v="4.4000000000000004"/>
    <n v="102550"/>
  </r>
  <r>
    <x v="0"/>
    <s v="Taycan"/>
    <n v="2022"/>
    <s v="N/A"/>
    <n v="469"/>
    <n v="479"/>
    <n v="3.8"/>
    <n v="79900"/>
  </r>
  <r>
    <x v="1"/>
    <s v="Aventador SVJ"/>
    <n v="2021"/>
    <n v="6.5"/>
    <n v="759"/>
    <n v="531"/>
    <n v="2.8"/>
    <n v="517770"/>
  </r>
  <r>
    <x v="2"/>
    <s v="SF90 Stradale"/>
    <n v="2021"/>
    <n v="4"/>
    <n v="986"/>
    <n v="590"/>
    <n v="2.5"/>
    <n v="625000"/>
  </r>
  <r>
    <x v="3"/>
    <s v="RS6 Avant"/>
    <n v="2021"/>
    <n v="4"/>
    <n v="591"/>
    <n v="590"/>
    <n v="3.5"/>
    <n v="109000"/>
  </r>
  <r>
    <x v="4"/>
    <s v="600LT Spider"/>
    <n v="2021"/>
    <n v="3.8"/>
    <n v="592"/>
    <n v="457"/>
    <n v="2.8"/>
    <n v="256500"/>
  </r>
  <r>
    <x v="5"/>
    <s v="M4"/>
    <n v="2022"/>
    <n v="3"/>
    <n v="473"/>
    <n v="406"/>
    <n v="3.8"/>
    <n v="71800"/>
  </r>
  <r>
    <x v="6"/>
    <s v="AMG GT R"/>
    <n v="2021"/>
    <n v="4"/>
    <n v="577"/>
    <n v="516"/>
    <n v="3.5"/>
    <n v="180000"/>
  </r>
  <r>
    <x v="7"/>
    <s v="Camaro ZL1"/>
    <n v="2021"/>
    <n v="6.2"/>
    <n v="650"/>
    <n v="650"/>
    <n v="3.5"/>
    <n v="64695"/>
  </r>
  <r>
    <x v="8"/>
    <s v="GT"/>
    <n v="2022"/>
    <n v="3.5"/>
    <n v="660"/>
    <n v="550"/>
    <n v="3"/>
    <n v="500000"/>
  </r>
  <r>
    <x v="9"/>
    <s v="370Z Nismo"/>
    <n v="2021"/>
    <n v="3.7"/>
    <n v="350"/>
    <n v="276"/>
    <n v="5"/>
    <n v="48000"/>
  </r>
  <r>
    <x v="0"/>
    <s v="Panamera Turbo S E-Hybrid"/>
    <n v="2021"/>
    <n v="4"/>
    <n v="690"/>
    <n v="642"/>
    <n v="3"/>
    <n v="190000"/>
  </r>
  <r>
    <x v="1"/>
    <s v="Urus"/>
    <n v="2021"/>
    <n v="4"/>
    <n v="641"/>
    <n v="627"/>
    <n v="3.5"/>
    <n v="218000"/>
  </r>
  <r>
    <x v="2"/>
    <s v="Portofino M"/>
    <n v="2021"/>
    <n v="3.9"/>
    <n v="612"/>
    <n v="561"/>
    <n v="3.4"/>
    <n v="235000"/>
  </r>
  <r>
    <x v="3"/>
    <s v="TT RS"/>
    <n v="2022"/>
    <n v="2.5"/>
    <n v="394"/>
    <n v="354"/>
    <n v="3.6"/>
    <n v="67600"/>
  </r>
  <r>
    <x v="4"/>
    <s v="Artura"/>
    <n v="2022"/>
    <n v="3"/>
    <n v="671"/>
    <n v="531"/>
    <n v="3"/>
    <n v="225000"/>
  </r>
  <r>
    <x v="5"/>
    <s v="M2 CS"/>
    <n v="2022"/>
    <n v="3"/>
    <n v="444"/>
    <n v="406"/>
    <n v="3.8"/>
    <n v="84595"/>
  </r>
  <r>
    <x v="6"/>
    <s v="SLS AMG Black Series"/>
    <n v="2021"/>
    <n v="6.2"/>
    <n v="622"/>
    <n v="468"/>
    <n v="3.5"/>
    <n v="335000"/>
  </r>
  <r>
    <x v="7"/>
    <s v="Camaro SS"/>
    <n v="2021"/>
    <n v="6.2"/>
    <n v="455"/>
    <n v="455"/>
    <n v="4"/>
    <n v="42000"/>
  </r>
  <r>
    <x v="0"/>
    <s v="718 Boxster"/>
    <n v="2022"/>
    <n v="2"/>
    <n v="300"/>
    <n v="280"/>
    <n v="4.9000000000000004"/>
    <n v="63000"/>
  </r>
  <r>
    <x v="1"/>
    <s v="Aventador SVJ"/>
    <n v="2020"/>
    <n v="6.5"/>
    <n v="759"/>
    <n v="531"/>
    <n v="2.8"/>
    <n v="573966"/>
  </r>
  <r>
    <x v="2"/>
    <s v="SF90 Stradale"/>
    <n v="2022"/>
    <n v="4"/>
    <n v="986"/>
    <n v="590"/>
    <n v="2.5"/>
    <n v="625000"/>
  </r>
  <r>
    <x v="3"/>
    <s v="TT RS Coupe"/>
    <n v="2022"/>
    <n v="2.5"/>
    <n v="394"/>
    <n v="354"/>
    <n v="3.5"/>
    <n v="68000"/>
  </r>
  <r>
    <x v="4"/>
    <s v="GT"/>
    <n v="2020"/>
    <n v="4"/>
    <n v="612"/>
    <n v="465"/>
    <n v="3.1"/>
    <n v="210000"/>
  </r>
  <r>
    <x v="5"/>
    <s v="Z4 Roadster"/>
    <n v="2022"/>
    <n v="2"/>
    <n v="255"/>
    <n v="295"/>
    <n v="5.2"/>
    <n v="50000"/>
  </r>
  <r>
    <x v="6"/>
    <s v="SLS AMG"/>
    <n v="2015"/>
    <n v="6.2"/>
    <n v="622"/>
    <n v="468"/>
    <n v="3.6"/>
    <n v="200000"/>
  </r>
  <r>
    <x v="7"/>
    <s v="Camaro SS Convertible"/>
    <n v="2022"/>
    <n v="6.2"/>
    <n v="455"/>
    <n v="455"/>
    <n v="4"/>
    <n v="49000"/>
  </r>
  <r>
    <x v="8"/>
    <s v="GT"/>
    <n v="2021"/>
    <n v="3.5"/>
    <n v="660"/>
    <n v="550"/>
    <n v="2.9"/>
    <n v="500000"/>
  </r>
  <r>
    <x v="9"/>
    <s v="370Z Coupe"/>
    <n v="2020"/>
    <n v="3.7"/>
    <n v="332"/>
    <n v="270"/>
    <n v="5"/>
    <n v="30090"/>
  </r>
  <r>
    <x v="10"/>
    <s v="Vantage"/>
    <n v="2021"/>
    <n v="4"/>
    <n v="503"/>
    <n v="505"/>
    <n v="3.6"/>
    <n v="142086"/>
  </r>
  <r>
    <x v="20"/>
    <s v="Continental GT"/>
    <n v="2022"/>
    <n v="6"/>
    <n v="626"/>
    <n v="664"/>
    <n v="3.3"/>
    <n v="225000"/>
  </r>
  <r>
    <x v="11"/>
    <s v="Chiron"/>
    <n v="2021"/>
    <n v="8"/>
    <n v="1479"/>
    <n v="1180"/>
    <n v="2.4"/>
    <n v="3000000"/>
  </r>
  <r>
    <x v="12"/>
    <s v="Challenger SRT Hellcat"/>
    <n v="2022"/>
    <n v="6.2"/>
    <n v="717"/>
    <n v="656"/>
    <n v="3.5"/>
    <n v="68000"/>
  </r>
  <r>
    <x v="13"/>
    <s v="F-Type"/>
    <n v="2022"/>
    <n v="2"/>
    <n v="296"/>
    <n v="295"/>
    <n v="5.4"/>
    <n v="63700"/>
  </r>
  <r>
    <x v="16"/>
    <s v="Evora GT"/>
    <n v="2021"/>
    <n v="3.5"/>
    <n v="416"/>
    <n v="317"/>
    <n v="3.8"/>
    <n v="100000"/>
  </r>
  <r>
    <x v="17"/>
    <s v="GranTurismo"/>
    <n v="2022"/>
    <n v="4.7"/>
    <n v="454"/>
    <n v="384"/>
    <n v="4.7"/>
    <n v="150980"/>
  </r>
  <r>
    <x v="10"/>
    <s v="DBS Superleggera"/>
    <n v="2021"/>
    <n v="5.2"/>
    <n v="715"/>
    <n v="664"/>
    <n v="3.2"/>
    <n v="304995"/>
  </r>
  <r>
    <x v="16"/>
    <s v="Evora GT"/>
    <n v="2021"/>
    <n v="3.5"/>
    <n v="416"/>
    <n v="317"/>
    <n v="3.8"/>
    <n v="98395"/>
  </r>
  <r>
    <x v="0"/>
    <s v="Panamera Turbo S E-Hybrid"/>
    <n v="2021"/>
    <n v="4"/>
    <n v="689"/>
    <n v="642"/>
    <n v="3"/>
    <n v="190000"/>
  </r>
  <r>
    <x v="1"/>
    <s v="Aventador SVJ"/>
    <n v="2021"/>
    <n v="6.5"/>
    <n v="759"/>
    <n v="531"/>
    <n v="2.8"/>
    <n v="517000"/>
  </r>
  <r>
    <x v="2"/>
    <s v="SF90 Stradale"/>
    <n v="2021"/>
    <n v="4"/>
    <n v="986"/>
    <n v="590"/>
    <n v="2.5"/>
    <n v="625000"/>
  </r>
  <r>
    <x v="3"/>
    <s v="RS7"/>
    <n v="2022"/>
    <n v="4"/>
    <n v="591"/>
    <n v="590"/>
    <n v="3.5"/>
    <n v="117000"/>
  </r>
  <r>
    <x v="6"/>
    <s v="S63 AMG"/>
    <n v="2021"/>
    <n v="4"/>
    <n v="603"/>
    <n v="664"/>
    <n v="3.4"/>
    <n v="168000"/>
  </r>
  <r>
    <x v="7"/>
    <s v="Camaro ZL1"/>
    <n v="2021"/>
    <n v="6.2"/>
    <n v="650"/>
    <n v="650"/>
    <n v="3.5"/>
    <n v="64500"/>
  </r>
  <r>
    <x v="8"/>
    <s v="GT"/>
    <n v="2021"/>
    <n v="3.5"/>
    <n v="660"/>
    <n v="550"/>
    <n v="2.8"/>
    <n v="500000"/>
  </r>
  <r>
    <x v="9"/>
    <s v="370Z Nismo"/>
    <n v="2021"/>
    <n v="3.7"/>
    <n v="350"/>
    <n v="276"/>
    <n v="4.7"/>
    <n v="46000"/>
  </r>
  <r>
    <x v="0"/>
    <s v="718 Cayman GT4"/>
    <n v="2022"/>
    <n v="4"/>
    <n v="414"/>
    <n v="309"/>
    <n v="4.2"/>
    <n v="102000"/>
  </r>
  <r>
    <x v="21"/>
    <s v="C63 S Coupe"/>
    <n v="2021"/>
    <n v="4"/>
    <n v="503"/>
    <n v="516"/>
    <n v="3.7"/>
    <n v="77500"/>
  </r>
  <r>
    <x v="10"/>
    <s v="Vantage"/>
    <n v="2021"/>
    <n v="4"/>
    <n v="503"/>
    <n v="505"/>
    <n v="3.5"/>
    <n v="147000"/>
  </r>
  <r>
    <x v="4"/>
    <s v="570S"/>
    <n v="2021"/>
    <n v="3.8"/>
    <n v="562"/>
    <n v="443"/>
    <n v="3.1"/>
    <n v="193000"/>
  </r>
  <r>
    <x v="5"/>
    <s v="M5"/>
    <n v="2022"/>
    <n v="4.4000000000000004"/>
    <n v="600"/>
    <n v="553"/>
    <n v="3.2"/>
    <n v="103500"/>
  </r>
  <r>
    <x v="12"/>
    <s v="Challenger SRT Hellcat"/>
    <n v="2021"/>
    <n v="6.2"/>
    <n v="717"/>
    <n v="656"/>
    <n v="3.5"/>
    <n v="64000"/>
  </r>
  <r>
    <x v="15"/>
    <s v="LC 500"/>
    <n v="2021"/>
    <n v="5"/>
    <n v="471"/>
    <n v="398"/>
    <n v="4.4000000000000004"/>
    <n v="92950"/>
  </r>
  <r>
    <x v="21"/>
    <s v="GT 63 S"/>
    <n v="2021"/>
    <n v="4"/>
    <n v="630"/>
    <n v="664"/>
    <n v="3.1"/>
    <n v="162000"/>
  </r>
  <r>
    <x v="3"/>
    <s v="TT RS"/>
    <n v="2021"/>
    <n v="2.5"/>
    <n v="394"/>
    <n v="354"/>
    <n v="3.6"/>
    <n v="67600"/>
  </r>
  <r>
    <x v="25"/>
    <s v="NSX"/>
    <n v="2021"/>
    <n v="3.5"/>
    <n v="573"/>
    <n v="476"/>
    <n v="2.9"/>
    <n v="157500"/>
  </r>
  <r>
    <x v="0"/>
    <s v="Cayman GT4"/>
    <n v="2021"/>
    <n v="4"/>
    <n v="414"/>
    <n v="309"/>
    <n v="4.2"/>
    <n v="102000"/>
  </r>
  <r>
    <x v="1"/>
    <s v="Aventador S"/>
    <n v="2021"/>
    <n v="6.5"/>
    <n v="730"/>
    <n v="509"/>
    <n v="2.9"/>
    <n v="417826"/>
  </r>
  <r>
    <x v="2"/>
    <s v="SF90 Stradale"/>
    <n v="2021"/>
    <n v="4"/>
    <n v="986"/>
    <n v="590"/>
    <n v="2.5"/>
    <n v="625000"/>
  </r>
  <r>
    <x v="3"/>
    <s v="RS 5"/>
    <n v="2022"/>
    <n v="2.9"/>
    <n v="444"/>
    <n v="443"/>
    <n v="3.5"/>
    <n v="76700"/>
  </r>
  <r>
    <x v="4"/>
    <s v="570S Spider"/>
    <n v="2020"/>
    <n v="3.8"/>
    <n v="562"/>
    <n v="443"/>
    <n v="3.1"/>
    <n v="208800"/>
  </r>
  <r>
    <x v="5"/>
    <s v="M2 Competition"/>
    <n v="2022"/>
    <n v="3"/>
    <n v="405"/>
    <n v="406"/>
    <n v="4.2"/>
    <n v="58900"/>
  </r>
  <r>
    <x v="6"/>
    <s v="C 63 AMG"/>
    <n v="2022"/>
    <n v="4"/>
    <n v="469"/>
    <n v="479"/>
    <n v="3.9"/>
    <n v="69000"/>
  </r>
  <r>
    <x v="7"/>
    <s v="Camaro SS"/>
    <n v="2021"/>
    <n v="6.2"/>
    <n v="455"/>
    <n v="455"/>
    <n v="4"/>
    <n v="42000"/>
  </r>
  <r>
    <x v="8"/>
    <s v="Mustang GT"/>
    <n v="2022"/>
    <n v="5"/>
    <n v="460"/>
    <n v="420"/>
    <n v="4.5"/>
    <n v="43000"/>
  </r>
  <r>
    <x v="12"/>
    <s v="Challenger R/T"/>
    <n v="2021"/>
    <n v="5.7"/>
    <n v="372"/>
    <n v="400"/>
    <n v="5.0999999999999996"/>
    <n v="35000"/>
  </r>
  <r>
    <x v="10"/>
    <s v="Vantage"/>
    <n v="2021"/>
    <n v="4"/>
    <n v="503"/>
    <n v="505"/>
    <n v="3.6"/>
    <n v="151000"/>
  </r>
  <r>
    <x v="16"/>
    <s v="Evora GT"/>
    <n v="2021"/>
    <n v="3.5"/>
    <n v="416"/>
    <n v="317"/>
    <n v="3.8"/>
    <n v="105000"/>
  </r>
  <r>
    <x v="18"/>
    <s v="4C Spider"/>
    <n v="2020"/>
    <n v="1.7"/>
    <n v="237"/>
    <n v="258"/>
    <n v="4.0999999999999996"/>
    <n v="69000"/>
  </r>
  <r>
    <x v="13"/>
    <s v="F-Type"/>
    <n v="2022"/>
    <n v="2"/>
    <n v="296"/>
    <n v="295"/>
    <n v="5.4"/>
    <n v="62500"/>
  </r>
  <r>
    <x v="28"/>
    <s v="Roadster"/>
    <n v="2022"/>
    <s v="Electric"/>
    <n v="1000"/>
    <n v="737"/>
    <n v="1.9"/>
    <n v="200000"/>
  </r>
  <r>
    <x v="14"/>
    <s v="Jesko"/>
    <n v="2022"/>
    <n v="5"/>
    <n v="1600"/>
    <n v="1106"/>
    <n v="2.5"/>
    <n v="3000000"/>
  </r>
  <r>
    <x v="11"/>
    <s v="Chiron Super Sport 300+"/>
    <n v="2021"/>
    <n v="8"/>
    <n v="1578"/>
    <n v="1180"/>
    <n v="2.4"/>
    <n v="5200000"/>
  </r>
  <r>
    <x v="24"/>
    <s v="Nevera"/>
    <n v="2021"/>
    <s v="Electric"/>
    <n v="1914"/>
    <n v="1696"/>
    <n v="1.85"/>
    <n v="2400000"/>
  </r>
  <r>
    <x v="0"/>
    <s v="Cayman GT4"/>
    <n v="2022"/>
    <n v="4"/>
    <n v="414"/>
    <n v="309"/>
    <n v="4.2"/>
    <n v="102100"/>
  </r>
  <r>
    <x v="7"/>
    <s v="Camaro ZL1"/>
    <n v="2022"/>
    <n v="6.2"/>
    <n v="650"/>
    <n v="650"/>
    <n v="3.5"/>
    <n v="63000"/>
  </r>
  <r>
    <x v="10"/>
    <s v="Vantage"/>
    <n v="2021"/>
    <n v="4"/>
    <n v="503"/>
    <n v="505"/>
    <n v="3.5"/>
    <n v="142086"/>
  </r>
  <r>
    <x v="18"/>
    <s v="Giulia Quadrifoglio"/>
    <n v="2022"/>
    <n v="2.9"/>
    <n v="505"/>
    <n v="443"/>
    <n v="3.8"/>
    <n v="83250"/>
  </r>
  <r>
    <x v="12"/>
    <s v="Challenger SRT Hellcat"/>
    <n v="2021"/>
    <n v="6.2"/>
    <n v="717"/>
    <n v="656"/>
    <n v="3.5"/>
    <n v="65000"/>
  </r>
  <r>
    <x v="15"/>
    <s v="LC 500"/>
    <n v="2022"/>
    <n v="5"/>
    <n v="471"/>
    <n v="398"/>
    <n v="4.4000000000000004"/>
    <n v="93050"/>
  </r>
  <r>
    <x v="3"/>
    <s v="RS 7 Sportback"/>
    <n v="2021"/>
    <n v="4"/>
    <n v="591"/>
    <n v="590"/>
    <n v="3.5"/>
    <n v="114000"/>
  </r>
  <r>
    <x v="5"/>
    <s v="M4 Competition"/>
    <n v="2022"/>
    <n v="3"/>
    <n v="503"/>
    <n v="479"/>
    <n v="3.8"/>
    <n v="74700"/>
  </r>
  <r>
    <x v="6"/>
    <s v="C63 S AMG"/>
    <n v="2022"/>
    <n v="4"/>
    <n v="503"/>
    <n v="516"/>
    <n v="3.9"/>
    <n v="77600"/>
  </r>
  <r>
    <x v="8"/>
    <s v="GT"/>
    <n v="2022"/>
    <n v="3.5"/>
    <n v="660"/>
    <n v="550"/>
    <n v="2.9"/>
    <n v="500000"/>
  </r>
  <r>
    <x v="4"/>
    <s v="GT"/>
    <n v="2021"/>
    <n v="4"/>
    <n v="620"/>
    <n v="465"/>
    <n v="3.1"/>
    <n v="210000"/>
  </r>
  <r>
    <x v="0"/>
    <s v="Panamera Turbo S"/>
    <n v="2022"/>
    <n v="4"/>
    <n v="630"/>
    <n v="604"/>
    <n v="2.9"/>
    <n v="181100"/>
  </r>
  <r>
    <x v="1"/>
    <s v="Aventador S"/>
    <n v="2021"/>
    <n v="6.5"/>
    <n v="730"/>
    <n v="507"/>
    <n v="2.9"/>
    <n v="417826"/>
  </r>
  <r>
    <x v="10"/>
    <s v="DBS Superleggera"/>
    <n v="2022"/>
    <n v="5.2"/>
    <n v="715"/>
    <n v="664"/>
    <n v="3.2"/>
    <n v="329100"/>
  </r>
  <r>
    <x v="3"/>
    <s v="TT RS"/>
    <n v="2022"/>
    <n v="2.5"/>
    <n v="394"/>
    <n v="354"/>
    <n v="3.6"/>
    <n v="67600"/>
  </r>
  <r>
    <x v="6"/>
    <s v="AMG C43 Coupe"/>
    <n v="2021"/>
    <n v="3"/>
    <n v="385"/>
    <n v="384"/>
    <n v="4.5"/>
    <n v="59900"/>
  </r>
  <r>
    <x v="5"/>
    <s v="i8"/>
    <n v="2022"/>
    <n v="1.5"/>
    <n v="369"/>
    <n v="184"/>
    <n v="4.2"/>
    <n v="147500"/>
  </r>
  <r>
    <x v="7"/>
    <s v="Corvette Stingray"/>
    <n v="2021"/>
    <n v="6.2"/>
    <n v="490"/>
    <n v="465"/>
    <n v="2.9"/>
    <n v="59900"/>
  </r>
  <r>
    <x v="0"/>
    <s v="Taycan"/>
    <n v="2022"/>
    <s v="2.0 (Electric)"/>
    <n v="469"/>
    <n v="263"/>
    <n v="3.8"/>
    <n v="81250"/>
  </r>
  <r>
    <x v="1"/>
    <s v="Aventador"/>
    <n v="2021"/>
    <n v="6.5"/>
    <n v="730"/>
    <n v="509"/>
    <n v="2.9"/>
    <n v="517000"/>
  </r>
  <r>
    <x v="2"/>
    <s v="Roma"/>
    <n v="2021"/>
    <n v="3.9"/>
    <n v="611"/>
    <n v="560"/>
    <n v="3.3"/>
    <n v="222620"/>
  </r>
  <r>
    <x v="3"/>
    <s v="RS7"/>
    <n v="2022"/>
    <n v="4"/>
    <n v="591"/>
    <n v="590"/>
    <n v="3.5"/>
    <n v="115000"/>
  </r>
  <r>
    <x v="4"/>
    <s v="GT"/>
    <n v="2021"/>
    <n v="4"/>
    <n v="612"/>
    <n v="465"/>
    <n v="3.1"/>
    <n v="210000"/>
  </r>
  <r>
    <x v="5"/>
    <s v="M2"/>
    <n v="2022"/>
    <n v="3"/>
    <n v="405"/>
    <n v="406"/>
    <n v="4.2"/>
    <n v="58900"/>
  </r>
  <r>
    <x v="6"/>
    <s v="C63 AMG"/>
    <n v="2021"/>
    <n v="4"/>
    <n v="469"/>
    <n v="479"/>
    <n v="3.9"/>
    <n v="77000"/>
  </r>
  <r>
    <x v="7"/>
    <s v="Camaro SS"/>
    <n v="2021"/>
    <n v="6.2"/>
    <n v="455"/>
    <n v="455"/>
    <n v="4.0999999999999996"/>
    <n v="43995"/>
  </r>
  <r>
    <x v="8"/>
    <s v="Mustang Mach 1"/>
    <n v="2021"/>
    <n v="5"/>
    <n v="480"/>
    <n v="420"/>
    <n v="4.0999999999999996"/>
    <n v="51720"/>
  </r>
  <r>
    <x v="9"/>
    <s v="370Z Nismo"/>
    <n v="2021"/>
    <n v="3.7"/>
    <n v="350"/>
    <n v="276"/>
    <n v="4.8"/>
    <n v="46610"/>
  </r>
  <r>
    <x v="0"/>
    <s v="Panamera"/>
    <n v="2022"/>
    <n v="2.9"/>
    <n v="325"/>
    <n v="331"/>
    <n v="5.3"/>
    <n v="88550"/>
  </r>
  <r>
    <x v="1"/>
    <s v="Urus"/>
    <n v="2021"/>
    <n v="4"/>
    <n v="641"/>
    <n v="627"/>
    <n v="3.6"/>
    <n v="218009"/>
  </r>
  <r>
    <x v="2"/>
    <s v="SF90 Stradale"/>
    <n v="2021"/>
    <s v="4.0 (Hybrid)"/>
    <n v="986"/>
    <n v="590"/>
    <n v="2.5"/>
    <n v="625000"/>
  </r>
  <r>
    <x v="3"/>
    <s v="RS6"/>
    <n v="2022"/>
    <n v="4"/>
    <n v="591"/>
    <n v="590"/>
    <n v="3.5"/>
    <n v="120000"/>
  </r>
  <r>
    <x v="4"/>
    <s v="570S"/>
    <n v="2021"/>
    <n v="3.8"/>
    <n v="562"/>
    <n v="443"/>
    <n v="3.1"/>
    <n v="192500"/>
  </r>
  <r>
    <x v="5"/>
    <s v="M4"/>
    <n v="2022"/>
    <n v="3"/>
    <n v="503"/>
    <n v="479"/>
    <n v="3.8"/>
    <n v="74000"/>
  </r>
  <r>
    <x v="6"/>
    <s v="AMG A45"/>
    <n v="2021"/>
    <n v="2"/>
    <n v="382"/>
    <n v="354"/>
    <n v="4"/>
    <n v="50000"/>
  </r>
  <r>
    <x v="7"/>
    <s v="Camaro ZL1"/>
    <n v="2021"/>
    <n v="6.2"/>
    <n v="650"/>
    <n v="650"/>
    <n v="3.5"/>
    <n v="63995"/>
  </r>
  <r>
    <x v="25"/>
    <s v="NSX"/>
    <n v="2021"/>
    <n v="3.5"/>
    <n v="573"/>
    <n v="476"/>
    <n v="2.7"/>
    <n v="157500"/>
  </r>
  <r>
    <x v="10"/>
    <s v="Vantage"/>
    <n v="2021"/>
    <n v="4"/>
    <n v="503"/>
    <n v="505"/>
    <n v="3.5"/>
    <n v="142086"/>
  </r>
  <r>
    <x v="20"/>
    <s v="Continental GT"/>
    <n v="2021"/>
    <n v="4"/>
    <n v="542"/>
    <n v="568"/>
    <n v="3.3"/>
    <n v="202500"/>
  </r>
  <r>
    <x v="11"/>
    <s v="Chiron"/>
    <n v="2022"/>
    <n v="8"/>
    <n v="1479"/>
    <n v="1180"/>
    <n v="2.4"/>
    <n v="2900000"/>
  </r>
  <r>
    <x v="2"/>
    <s v="F8 Tributo"/>
    <n v="2022"/>
    <n v="3.9"/>
    <n v="710"/>
    <n v="568"/>
    <n v="2.8"/>
    <n v="275000"/>
  </r>
  <r>
    <x v="1"/>
    <s v="Aventador"/>
    <n v="2021"/>
    <n v="6.5"/>
    <n v="730"/>
    <n v="509"/>
    <n v="2.9"/>
    <n v="517000"/>
  </r>
  <r>
    <x v="4"/>
    <s v="GT"/>
    <n v="2021"/>
    <n v="4"/>
    <n v="612"/>
    <n v="465"/>
    <n v="3.1"/>
    <n v="201500"/>
  </r>
  <r>
    <x v="6"/>
    <s v="AMG GT R"/>
    <n v="2021"/>
    <n v="4"/>
    <n v="577"/>
    <n v="516"/>
    <n v="3.5"/>
    <n v="183000"/>
  </r>
  <r>
    <x v="0"/>
    <s v="Taycan Turbo S"/>
    <n v="2021"/>
    <s v="Electric"/>
    <n v="750"/>
    <n v="774"/>
    <n v="2.6"/>
    <n v="185000"/>
  </r>
  <r>
    <x v="3"/>
    <s v="RS7"/>
    <n v="2021"/>
    <n v="4"/>
    <n v="591"/>
    <n v="590"/>
    <n v="3.5"/>
    <n v="114000"/>
  </r>
  <r>
    <x v="5"/>
    <s v="M4"/>
    <n v="2021"/>
    <n v="3"/>
    <n v="473"/>
    <n v="406"/>
    <n v="4.0999999999999996"/>
    <n v="71800"/>
  </r>
  <r>
    <x v="7"/>
    <s v="Camaro ZL1"/>
    <n v="2021"/>
    <n v="6.2"/>
    <n v="650"/>
    <n v="650"/>
    <n v="3.5"/>
    <n v="63000"/>
  </r>
  <r>
    <x v="12"/>
    <s v="Challenger SRT Hellcat Redeye"/>
    <n v="2022"/>
    <n v="6.2"/>
    <n v="797"/>
    <n v="707"/>
    <n v="3.5"/>
    <n v="80190"/>
  </r>
  <r>
    <x v="8"/>
    <s v="GT"/>
    <n v="2022"/>
    <n v="3.5"/>
    <n v="660"/>
    <n v="550"/>
    <n v="2.8"/>
    <n v="500000"/>
  </r>
  <r>
    <x v="13"/>
    <s v="F-Type"/>
    <n v="2021"/>
    <n v="3"/>
    <n v="380"/>
    <n v="339"/>
    <n v="4.4000000000000004"/>
    <n v="62750"/>
  </r>
  <r>
    <x v="15"/>
    <s v="LC 500"/>
    <n v="2021"/>
    <n v="5"/>
    <n v="471"/>
    <n v="398"/>
    <n v="4.4000000000000004"/>
    <n v="92000"/>
  </r>
  <r>
    <x v="16"/>
    <s v="Evija"/>
    <n v="2021"/>
    <s v="Electric"/>
    <n v="2000"/>
    <n v="1254"/>
    <n v="2.8"/>
    <n v="2800000"/>
  </r>
  <r>
    <x v="17"/>
    <s v="GranTurismo"/>
    <n v="2021"/>
    <s v="Electric"/>
    <n v="550"/>
    <s v="N/A"/>
    <n v="2.8"/>
    <n v="200000"/>
  </r>
  <r>
    <x v="9"/>
    <s v="370Z"/>
    <n v="2021"/>
    <n v="3.7"/>
    <n v="332"/>
    <n v="270"/>
    <n v="5"/>
    <n v="30090"/>
  </r>
  <r>
    <x v="27"/>
    <s v="Ghost"/>
    <n v="2021"/>
    <n v="6.8"/>
    <n v="563"/>
    <n v="627"/>
    <n v="4.5999999999999996"/>
    <n v="332500"/>
  </r>
  <r>
    <x v="0"/>
    <s v="Taycan"/>
    <n v="2021"/>
    <n v="2"/>
    <n v="402"/>
    <n v="254"/>
    <n v="5.0999999999999996"/>
    <n v="81250"/>
  </r>
  <r>
    <x v="10"/>
    <s v="DB11"/>
    <n v="2021"/>
    <n v="4"/>
    <n v="630"/>
    <n v="516"/>
    <n v="3.7"/>
    <n v="198995"/>
  </r>
  <r>
    <x v="16"/>
    <s v="Evora GT"/>
    <n v="2021"/>
    <n v="3.5"/>
    <n v="416"/>
    <n v="317"/>
    <n v="3.8"/>
    <n v="105000"/>
  </r>
  <r>
    <x v="25"/>
    <s v="NSX"/>
    <n v="2022"/>
    <n v="3.5"/>
    <n v="573"/>
    <n v="476"/>
    <n v="2.7"/>
    <n v="157500"/>
  </r>
  <r>
    <x v="28"/>
    <s v="Roadster"/>
    <n v="2022"/>
    <n v="0"/>
    <n v="10000"/>
    <n v="7376"/>
    <n v="1.9"/>
    <n v="200000"/>
  </r>
  <r>
    <x v="7"/>
    <s v="Camaro"/>
    <n v="2022"/>
    <n v="6.2"/>
    <n v="455"/>
    <n v="455"/>
    <n v="4"/>
    <n v="25000"/>
  </r>
  <r>
    <x v="12"/>
    <s v="Charger"/>
    <n v="2021"/>
    <n v="6.2"/>
    <n v="797"/>
    <n v="707"/>
    <n v="3.3"/>
    <n v="72000"/>
  </r>
  <r>
    <x v="13"/>
    <s v="F-Type"/>
    <n v="2021"/>
    <n v="3"/>
    <n v="380"/>
    <n v="339"/>
    <n v="4.9000000000000004"/>
    <n v="62750"/>
  </r>
  <r>
    <x v="15"/>
    <s v="LC 500"/>
    <n v="2021"/>
    <n v="5"/>
    <n v="471"/>
    <n v="398"/>
    <n v="4.4000000000000004"/>
    <n v="93000"/>
  </r>
  <r>
    <x v="5"/>
    <s v="M4"/>
    <n v="2022"/>
    <n v="3"/>
    <n v="473"/>
    <n v="406"/>
    <n v="4.0999999999999996"/>
    <n v="71800"/>
  </r>
  <r>
    <x v="8"/>
    <s v="GT"/>
    <n v="2021"/>
    <n v="3.5"/>
    <n v="660"/>
    <n v="550"/>
    <n v="2.9"/>
    <n v="500000"/>
  </r>
  <r>
    <x v="17"/>
    <s v="GranTurismo"/>
    <n v="2021"/>
    <n v="4.7"/>
    <n v="454"/>
    <n v="384"/>
    <n v="4.7"/>
    <n v="150980"/>
  </r>
  <r>
    <x v="4"/>
    <s v="600LT"/>
    <n v="2021"/>
    <n v="3.8"/>
    <n v="592"/>
    <n v="457"/>
    <n v="2.8"/>
    <n v="256500"/>
  </r>
  <r>
    <x v="6"/>
    <s v="SLS AMG"/>
    <n v="2021"/>
    <n v="6.2"/>
    <n v="622"/>
    <n v="468"/>
    <n v="3.6"/>
    <n v="254995"/>
  </r>
  <r>
    <x v="9"/>
    <s v="370Z"/>
    <n v="2021"/>
    <n v="3.7"/>
    <n v="332"/>
    <n v="270"/>
    <n v="5.2"/>
    <n v="30000"/>
  </r>
  <r>
    <x v="3"/>
    <s v="RS 7"/>
    <n v="2021"/>
    <n v="4"/>
    <n v="591"/>
    <n v="590"/>
    <n v="3.4"/>
    <n v="114000"/>
  </r>
  <r>
    <x v="20"/>
    <s v="Continental GT"/>
    <n v="2021"/>
    <n v="4"/>
    <n v="542"/>
    <n v="568"/>
    <n v="3.9"/>
    <n v="220000"/>
  </r>
  <r>
    <x v="11"/>
    <s v="Chiron"/>
    <n v="2021"/>
    <n v="8"/>
    <n v="1500"/>
    <n v="1180"/>
    <n v="2.4"/>
    <n v="3000000"/>
  </r>
  <r>
    <x v="0"/>
    <s v="Cayman"/>
    <n v="2022"/>
    <n v="2"/>
    <n v="300"/>
    <n v="280"/>
    <n v="4.5"/>
    <n v="59900"/>
  </r>
  <r>
    <x v="10"/>
    <s v="Vantage"/>
    <n v="2021"/>
    <n v="4"/>
    <n v="503"/>
    <n v="505"/>
    <n v="3.5"/>
    <n v="147000"/>
  </r>
  <r>
    <x v="18"/>
    <s v="4C Spider"/>
    <n v="2020"/>
    <n v="1.7"/>
    <n v="237"/>
    <n v="258"/>
    <n v="4.0999999999999996"/>
    <n v="67150"/>
  </r>
  <r>
    <x v="3"/>
    <s v="RS 5"/>
    <n v="2022"/>
    <n v="2.9"/>
    <n v="444"/>
    <n v="443"/>
    <n v="3.5"/>
    <n v="75100"/>
  </r>
  <r>
    <x v="5"/>
    <s v="M2"/>
    <n v="2022"/>
    <n v="3"/>
    <n v="405"/>
    <n v="406"/>
    <n v="4"/>
    <n v="58900"/>
  </r>
  <r>
    <x v="12"/>
    <s v="Challenger SRT Hellcat"/>
    <n v="2021"/>
    <n v="6.2"/>
    <n v="717"/>
    <n v="656"/>
    <n v="3.5"/>
    <n v="60695"/>
  </r>
  <r>
    <x v="2"/>
    <s v="F8 Spider"/>
    <n v="2022"/>
    <n v="3.9"/>
    <n v="710"/>
    <n v="568"/>
    <n v="2.9"/>
    <n v="274390"/>
  </r>
  <r>
    <x v="13"/>
    <s v="F-Type"/>
    <n v="2021"/>
    <n v="3"/>
    <n v="296"/>
    <n v="295"/>
    <n v="5.4"/>
    <n v="64700"/>
  </r>
  <r>
    <x v="1"/>
    <s v="Aventador"/>
    <n v="2021"/>
    <n v="6.5"/>
    <n v="759"/>
    <n v="531"/>
    <n v="2.9"/>
    <n v="517770"/>
  </r>
  <r>
    <x v="15"/>
    <s v="LC 500"/>
    <n v="2022"/>
    <n v="5"/>
    <n v="471"/>
    <n v="398"/>
    <n v="4.4000000000000004"/>
    <n v="92950"/>
  </r>
  <r>
    <x v="16"/>
    <s v="Evora GT"/>
    <n v="2021"/>
    <n v="3.5"/>
    <n v="416"/>
    <n v="317"/>
    <n v="3.8"/>
    <n v="99990"/>
  </r>
  <r>
    <x v="17"/>
    <s v="GranTurismo"/>
    <n v="2021"/>
    <n v="4.7"/>
    <n v="454"/>
    <n v="384"/>
    <n v="4.7"/>
    <n v="150800"/>
  </r>
  <r>
    <x v="4"/>
    <s v="GT"/>
    <n v="2021"/>
    <n v="4"/>
    <n v="612"/>
    <n v="465"/>
    <n v="3.1"/>
    <n v="210000"/>
  </r>
  <r>
    <x v="6"/>
    <s v="AMG C 63"/>
    <n v="2021"/>
    <n v="4"/>
    <n v="469"/>
    <n v="479"/>
    <n v="3.8"/>
    <n v="67600"/>
  </r>
  <r>
    <x v="9"/>
    <s v="370Z Nismo"/>
    <n v="2021"/>
    <n v="3.7"/>
    <n v="350"/>
    <n v="276"/>
    <n v="4.5"/>
    <n v="45790"/>
  </r>
  <r>
    <x v="0"/>
    <s v="Panamera"/>
    <n v="2022"/>
    <n v="2.9"/>
    <n v="325"/>
    <n v="331"/>
    <n v="5.3"/>
    <n v="88800"/>
  </r>
  <r>
    <x v="33"/>
    <s v="WRX STI"/>
    <n v="2021"/>
    <n v="2.5"/>
    <n v="310"/>
    <n v="290"/>
    <n v="5.2"/>
    <n v="38170"/>
  </r>
  <r>
    <x v="28"/>
    <s v="Roadster"/>
    <n v="2022"/>
    <s v="N/A"/>
    <s v="10,000+"/>
    <s v="N/A"/>
    <n v="1.9"/>
    <n v="200000"/>
  </r>
  <r>
    <x v="0"/>
    <s v="718 Cayman"/>
    <n v="2022"/>
    <n v="2"/>
    <n v="300"/>
    <n v="280"/>
    <n v="4.9000000000000004"/>
    <n v="61500"/>
  </r>
  <r>
    <x v="1"/>
    <s v="Aventador"/>
    <n v="2021"/>
    <n v="6.5"/>
    <n v="729"/>
    <n v="509"/>
    <n v="2.9"/>
    <n v="393695"/>
  </r>
  <r>
    <x v="2"/>
    <s v="SF90 Stradale"/>
    <n v="2022"/>
    <n v="4"/>
    <n v="986"/>
    <n v="590"/>
    <n v="2.5"/>
    <n v="625000"/>
  </r>
  <r>
    <x v="3"/>
    <s v="RS5 Coupe"/>
    <n v="2022"/>
    <n v="2.9"/>
    <n v="444"/>
    <n v="443"/>
    <n v="3.5"/>
    <n v="76350"/>
  </r>
  <r>
    <x v="4"/>
    <s v="570S"/>
    <n v="2021"/>
    <n v="3.8"/>
    <n v="562"/>
    <n v="443"/>
    <n v="3.1"/>
    <n v="202000"/>
  </r>
  <r>
    <x v="5"/>
    <s v="M2"/>
    <n v="2022"/>
    <n v="3"/>
    <n v="405"/>
    <n v="406"/>
    <n v="4"/>
    <n v="58900"/>
  </r>
  <r>
    <x v="6"/>
    <s v="SL"/>
    <n v="2022"/>
    <n v="3"/>
    <n v="429"/>
    <n v="384"/>
    <n v="4.4000000000000004"/>
    <n v="96000"/>
  </r>
  <r>
    <x v="7"/>
    <s v="Camaro"/>
    <n v="2021"/>
    <n v="6.2"/>
    <n v="455"/>
    <n v="455"/>
    <n v="4"/>
    <n v="25000"/>
  </r>
  <r>
    <x v="8"/>
    <s v="GT"/>
    <n v="2022"/>
    <n v="3.5"/>
    <n v="660"/>
    <n v="550"/>
    <n v="2.8"/>
    <n v="500000"/>
  </r>
  <r>
    <x v="9"/>
    <s v="370Z"/>
    <n v="2021"/>
    <n v="3.7"/>
    <n v="332"/>
    <n v="270"/>
    <n v="5.3"/>
    <n v="33000"/>
  </r>
  <r>
    <x v="18"/>
    <s v="Giulia Quadrifoglio"/>
    <n v="2021"/>
    <n v="2.9"/>
    <n v="505"/>
    <n v="443"/>
    <n v="3.8"/>
    <n v="75250"/>
  </r>
  <r>
    <x v="10"/>
    <s v="DB11"/>
    <n v="2022"/>
    <n v="4"/>
    <n v="630"/>
    <n v="516"/>
    <n v="3.7"/>
    <n v="201495"/>
  </r>
  <r>
    <x v="20"/>
    <s v="Continental GT"/>
    <n v="2021"/>
    <n v="6"/>
    <n v="626"/>
    <n v="664"/>
    <n v="3.3"/>
    <n v="201000"/>
  </r>
  <r>
    <x v="12"/>
    <s v="Challenger"/>
    <n v="2021"/>
    <n v="6.4"/>
    <n v="485"/>
    <n v="475"/>
    <n v="3.8"/>
    <n v="62000"/>
  </r>
  <r>
    <x v="13"/>
    <s v="F-Type R"/>
    <n v="2022"/>
    <n v="5"/>
    <n v="575"/>
    <n v="516"/>
    <n v="3.5"/>
    <n v="103200"/>
  </r>
  <r>
    <x v="15"/>
    <s v="LC 500"/>
    <n v="2022"/>
    <n v="5"/>
    <n v="471"/>
    <n v="398"/>
    <n v="4.4000000000000004"/>
    <n v="92950"/>
  </r>
  <r>
    <x v="16"/>
    <s v="Evora GT"/>
    <n v="2021"/>
    <n v="3.5"/>
    <n v="416"/>
    <n v="317"/>
    <n v="3.8"/>
    <n v="99000"/>
  </r>
  <r>
    <x v="17"/>
    <s v="GranTurismo"/>
    <n v="2021"/>
    <n v="4.7"/>
    <n v="454"/>
    <n v="384"/>
    <n v="4.7"/>
    <n v="150000"/>
  </r>
  <r>
    <x v="0"/>
    <s v="Cayman GT4"/>
    <n v="2021"/>
    <n v="4"/>
    <n v="414"/>
    <n v="309"/>
    <n v="4.2"/>
    <n v="102500"/>
  </r>
  <r>
    <x v="10"/>
    <s v="Vantage"/>
    <n v="2022"/>
    <n v="4"/>
    <n v="503"/>
    <n v="505"/>
    <n v="3.5"/>
    <n v="149995"/>
  </r>
  <r>
    <x v="12"/>
    <s v="Charger SRT Hellcat"/>
    <n v="2022"/>
    <n v="6.2"/>
    <n v="717"/>
    <n v="650"/>
    <n v="3.5"/>
    <n v="78595"/>
  </r>
  <r>
    <x v="3"/>
    <s v="RS 7"/>
    <n v="2021"/>
    <n v="4"/>
    <n v="591"/>
    <n v="590"/>
    <n v="3.5"/>
    <n v="114000"/>
  </r>
  <r>
    <x v="7"/>
    <s v="Camaro SS"/>
    <n v="2022"/>
    <n v="6.2"/>
    <n v="455"/>
    <n v="455"/>
    <n v="4.0999999999999996"/>
    <n v="37500"/>
  </r>
  <r>
    <x v="8"/>
    <s v="Mustang GT"/>
    <n v="2022"/>
    <n v="5"/>
    <n v="460"/>
    <n v="420"/>
    <n v="4"/>
    <n v="38500"/>
  </r>
  <r>
    <x v="13"/>
    <s v="F-Type R"/>
    <n v="2022"/>
    <n v="5"/>
    <n v="575"/>
    <n v="516"/>
    <n v="3.5"/>
    <n v="103200"/>
  </r>
  <r>
    <x v="15"/>
    <s v="LC 500"/>
    <n v="2022"/>
    <n v="5"/>
    <n v="471"/>
    <n v="398"/>
    <n v="4.4000000000000004"/>
    <n v="92950"/>
  </r>
  <r>
    <x v="4"/>
    <s v="570S"/>
    <n v="2021"/>
    <n v="3.8"/>
    <n v="562"/>
    <n v="443"/>
    <n v="3.1"/>
    <n v="208800"/>
  </r>
  <r>
    <x v="6"/>
    <s v="AMG C63"/>
    <n v="2022"/>
    <n v="4"/>
    <n v="469"/>
    <n v="479"/>
    <n v="3.8"/>
    <n v="71450"/>
  </r>
  <r>
    <x v="9"/>
    <s v="370Z Nismo"/>
    <n v="2021"/>
    <n v="3.7"/>
    <n v="350"/>
    <n v="276"/>
    <n v="4.9000000000000004"/>
    <n v="47820"/>
  </r>
  <r>
    <x v="0"/>
    <s v="Panamera GTS"/>
    <n v="2021"/>
    <n v="4"/>
    <n v="473"/>
    <n v="457"/>
    <n v="3.9"/>
    <n v="134150"/>
  </r>
  <r>
    <x v="3"/>
    <s v="TT RS"/>
    <n v="2022"/>
    <n v="2.5"/>
    <n v="394"/>
    <n v="354"/>
    <n v="3.6"/>
    <n v="67600"/>
  </r>
  <r>
    <x v="5"/>
    <s v="M4"/>
    <n v="2021"/>
    <n v="3"/>
    <n v="473"/>
    <n v="406"/>
    <n v="3.8"/>
    <n v="71800"/>
  </r>
  <r>
    <x v="2"/>
    <s v="F8 Tributo"/>
    <n v="2021"/>
    <n v="3.9"/>
    <n v="710"/>
    <n v="568"/>
    <n v="2.8"/>
    <n v="274280"/>
  </r>
  <r>
    <x v="1"/>
    <s v="Aventador"/>
    <n v="2021"/>
    <n v="6.5"/>
    <n v="770"/>
    <n v="531"/>
    <n v="2.9"/>
    <n v="393695"/>
  </r>
  <r>
    <x v="4"/>
    <s v="GT"/>
    <n v="2021"/>
    <n v="4"/>
    <n v="612"/>
    <n v="465"/>
    <n v="3.1"/>
    <n v="250000"/>
  </r>
  <r>
    <x v="6"/>
    <s v="AMG GT 4-Door Coupe"/>
    <n v="2021"/>
    <n v="4"/>
    <n v="630"/>
    <n v="664"/>
    <n v="3.1"/>
    <n v="171200"/>
  </r>
  <r>
    <x v="10"/>
    <s v="DBS Superleggera"/>
    <n v="2022"/>
    <n v="5.2"/>
    <n v="715"/>
    <n v="663"/>
    <n v="3.4"/>
    <n v="321000"/>
  </r>
  <r>
    <x v="16"/>
    <s v="Evora GT"/>
    <n v="2021"/>
    <n v="3.5"/>
    <n v="416"/>
    <n v="317"/>
    <n v="3.8"/>
    <n v="100500"/>
  </r>
  <r>
    <x v="0"/>
    <s v="Taycan Turbo S"/>
    <n v="2021"/>
    <s v="Electric"/>
    <n v="750"/>
    <n v="774"/>
    <n v="2.6"/>
    <n v="185000"/>
  </r>
  <r>
    <x v="4"/>
    <s v="570S"/>
    <n v="2021"/>
    <n v="3.8"/>
    <n v="562"/>
    <n v="443"/>
    <n v="3.1"/>
    <n v="195000"/>
  </r>
  <r>
    <x v="1"/>
    <s v="Aventador SVJ"/>
    <n v="2021"/>
    <n v="6.5"/>
    <n v="759"/>
    <n v="531"/>
    <n v="2.8"/>
    <n v="517770"/>
  </r>
  <r>
    <x v="8"/>
    <s v="GT"/>
    <n v="2021"/>
    <n v="3.5"/>
    <n v="660"/>
    <n v="550"/>
    <n v="3"/>
    <n v="500000"/>
  </r>
  <r>
    <x v="3"/>
    <s v="RS7 Sportback"/>
    <n v="2022"/>
    <n v="4"/>
    <n v="591"/>
    <n v="590"/>
    <n v="3.5"/>
    <n v="114000"/>
  </r>
  <r>
    <x v="5"/>
    <s v="M4"/>
    <n v="2022"/>
    <n v="3"/>
    <n v="473"/>
    <n v="406"/>
    <n v="4.0999999999999996"/>
    <n v="72800"/>
  </r>
  <r>
    <x v="21"/>
    <s v="C63 S"/>
    <n v="2022"/>
    <n v="4"/>
    <n v="503"/>
    <n v="516"/>
    <n v="3.7"/>
    <n v="78100"/>
  </r>
  <r>
    <x v="7"/>
    <s v="Camaro ZL1"/>
    <n v="2021"/>
    <n v="6.2"/>
    <n v="650"/>
    <n v="650"/>
    <n v="3.5"/>
    <n v="63000"/>
  </r>
  <r>
    <x v="12"/>
    <s v="Charger Hellcat"/>
    <n v="2021"/>
    <n v="6.2"/>
    <n v="717"/>
    <n v="650"/>
    <n v="3.6"/>
    <n v="70000"/>
  </r>
  <r>
    <x v="18"/>
    <s v="Giulia Quadrifoglio"/>
    <n v="2021"/>
    <n v="2.9"/>
    <n v="505"/>
    <n v="443"/>
    <n v="3.8"/>
    <n v="78450"/>
  </r>
  <r>
    <x v="28"/>
    <s v="Model S Plaid"/>
    <n v="2022"/>
    <s v="Electric"/>
    <n v="1020"/>
    <n v="1050"/>
    <n v="1.9"/>
    <n v="141190"/>
  </r>
  <r>
    <x v="2"/>
    <s v="SF90 Stradale"/>
    <n v="2021"/>
    <n v="4"/>
    <n v="986"/>
    <n v="590"/>
    <n v="2.5"/>
    <n v="625000"/>
  </r>
  <r>
    <x v="0"/>
    <s v="Panamera Turbo S E-Hybrid"/>
    <n v="2021"/>
    <s v="Hybrid"/>
    <n v="689"/>
    <n v="642"/>
    <n v="3"/>
    <n v="190000"/>
  </r>
  <r>
    <x v="4"/>
    <s v="Artura"/>
    <n v="2022"/>
    <n v="3"/>
    <n v="671"/>
    <n v="531"/>
    <n v="3"/>
    <n v="225000"/>
  </r>
  <r>
    <x v="1"/>
    <s v="Urus"/>
    <n v="2021"/>
    <n v="4"/>
    <n v="641"/>
    <n v="627"/>
    <n v="3.6"/>
    <n v="222000"/>
  </r>
  <r>
    <x v="8"/>
    <s v="Mustang Mach 1"/>
    <n v="2021"/>
    <n v="5"/>
    <n v="480"/>
    <n v="420"/>
    <n v="4"/>
    <n v="52915"/>
  </r>
  <r>
    <x v="0"/>
    <n v="911"/>
    <n v="2022"/>
    <n v="3"/>
    <n v="379"/>
    <n v="331"/>
    <n v="4"/>
    <n v="101200"/>
  </r>
  <r>
    <x v="1"/>
    <s v="Huracan"/>
    <n v="2021"/>
    <n v="5.2"/>
    <n v="630"/>
    <n v="443"/>
    <n v="2.8"/>
    <n v="274390"/>
  </r>
  <r>
    <x v="2"/>
    <s v="488 GTB"/>
    <n v="2022"/>
    <n v="3.9"/>
    <n v="661"/>
    <n v="561"/>
    <n v="3"/>
    <n v="333750"/>
  </r>
  <r>
    <x v="3"/>
    <s v="R8"/>
    <n v="2022"/>
    <n v="5.2"/>
    <n v="562"/>
    <n v="406"/>
    <n v="3.2"/>
    <n v="142700"/>
  </r>
  <r>
    <x v="4"/>
    <s v="720S"/>
    <n v="2021"/>
    <n v="4"/>
    <n v="710"/>
    <n v="568"/>
    <n v="2.7"/>
    <n v="298000"/>
  </r>
  <r>
    <x v="5"/>
    <s v="M8"/>
    <n v="2022"/>
    <n v="4.4000000000000004"/>
    <n v="617"/>
    <n v="553"/>
    <n v="3.1"/>
    <n v="130000"/>
  </r>
  <r>
    <x v="6"/>
    <s v="AMG GT"/>
    <n v="2021"/>
    <n v="4"/>
    <n v="523"/>
    <n v="494"/>
    <n v="3.8"/>
    <n v="118500"/>
  </r>
  <r>
    <x v="7"/>
    <s v="Corvette"/>
    <n v="2021"/>
    <n v="6.2"/>
    <n v="490"/>
    <n v="465"/>
    <n v="2.8"/>
    <n v="59900"/>
  </r>
  <r>
    <x v="8"/>
    <s v="Mustang Shelby GT500"/>
    <n v="2022"/>
    <n v="5.2"/>
    <n v="760"/>
    <n v="625"/>
    <n v="3.5"/>
    <n v="81000"/>
  </r>
  <r>
    <x v="9"/>
    <s v="GT-R Nismo"/>
    <n v="2021"/>
    <n v="3.8"/>
    <n v="600"/>
    <n v="481"/>
    <n v="2.5"/>
    <n v="212000"/>
  </r>
  <r>
    <x v="12"/>
    <s v="Challenger SRT Hellcat"/>
    <n v="2021"/>
    <n v="6.2"/>
    <n v="717"/>
    <n v="656"/>
    <n v="3.5"/>
    <n v="64195"/>
  </r>
  <r>
    <x v="10"/>
    <s v="Vantage"/>
    <n v="2021"/>
    <n v="4"/>
    <n v="503"/>
    <n v="505"/>
    <n v="3.6"/>
    <n v="147000"/>
  </r>
  <r>
    <x v="11"/>
    <s v="Chiron"/>
    <n v="2022"/>
    <n v="8"/>
    <n v="1500"/>
    <n v="1180"/>
    <n v="2.5"/>
    <n v="3900000"/>
  </r>
  <r>
    <x v="14"/>
    <s v="Jesko"/>
    <n v="2022"/>
    <n v="5"/>
    <n v="1280"/>
    <n v="1015"/>
    <n v="2.5"/>
    <n v="3000000"/>
  </r>
  <r>
    <x v="22"/>
    <s v="Huayra"/>
    <n v="2021"/>
    <n v="6"/>
    <n v="764"/>
    <n v="740"/>
    <n v="2.8"/>
    <n v="2600000"/>
  </r>
  <r>
    <x v="24"/>
    <s v="Nevera"/>
    <n v="2022"/>
    <s v="Electric"/>
    <n v="1914"/>
    <n v="1696"/>
    <n v="1.85"/>
    <n v="2400000"/>
  </r>
  <r>
    <x v="16"/>
    <s v="Evija"/>
    <n v="2022"/>
    <s v="Electric"/>
    <n v="1973"/>
    <n v="1254"/>
    <n v="2.5"/>
    <n v="2000000"/>
  </r>
  <r>
    <x v="34"/>
    <s v="Battista"/>
    <n v="2021"/>
    <s v="Electric"/>
    <n v="1872"/>
    <n v="1696"/>
    <n v="1.9"/>
    <n v="2500000"/>
  </r>
  <r>
    <x v="17"/>
    <s v="MC20"/>
    <n v="2021"/>
    <n v="3"/>
    <n v="621"/>
    <n v="538"/>
    <n v="2.9"/>
    <n v="210000"/>
  </r>
  <r>
    <x v="0"/>
    <s v="Cayman"/>
    <n v="2021"/>
    <n v="2"/>
    <n v="300"/>
    <n v="280"/>
    <n v="5.0999999999999996"/>
    <n v="59900"/>
  </r>
  <r>
    <x v="1"/>
    <s v="Aventador"/>
    <n v="2021"/>
    <n v="6.5"/>
    <n v="730"/>
    <n v="509"/>
    <n v="2.9"/>
    <n v="393695"/>
  </r>
  <r>
    <x v="2"/>
    <s v="SF90 Stradale"/>
    <n v="2021"/>
    <n v="4"/>
    <n v="986"/>
    <n v="590"/>
    <n v="2.5"/>
    <n v="625000"/>
  </r>
  <r>
    <x v="3"/>
    <s v="RS 5"/>
    <n v="2021"/>
    <n v="2.9"/>
    <n v="444"/>
    <n v="443"/>
    <n v="3.5"/>
    <n v="75100"/>
  </r>
  <r>
    <x v="4"/>
    <s v="GT"/>
    <n v="2022"/>
    <n v="4"/>
    <n v="612"/>
    <n v="465"/>
    <n v="3.1"/>
    <n v="210000"/>
  </r>
  <r>
    <x v="5"/>
    <s v="M2"/>
    <n v="2021"/>
    <n v="3"/>
    <n v="405"/>
    <n v="406"/>
    <n v="4"/>
    <n v="58900"/>
  </r>
  <r>
    <x v="6"/>
    <s v="SLS AMG"/>
    <n v="2021"/>
    <n v="6.3"/>
    <n v="622"/>
    <n v="468"/>
    <n v="3.6"/>
    <n v="254500"/>
  </r>
  <r>
    <x v="7"/>
    <s v="Camaro"/>
    <n v="2021"/>
    <n v="6.2"/>
    <n v="455"/>
    <n v="455"/>
    <n v="4"/>
    <n v="25000"/>
  </r>
  <r>
    <x v="8"/>
    <s v="Mustang"/>
    <n v="2021"/>
    <n v="2.2999999999999998"/>
    <n v="310"/>
    <n v="350"/>
    <n v="5.3"/>
    <n v="27205"/>
  </r>
  <r>
    <x v="9"/>
    <s v="370Z"/>
    <n v="2021"/>
    <n v="3.7"/>
    <n v="332"/>
    <n v="270"/>
    <n v="5.0999999999999996"/>
    <n v="30090"/>
  </r>
  <r>
    <x v="10"/>
    <s v="Vantage"/>
    <n v="2021"/>
    <n v="4"/>
    <n v="503"/>
    <n v="505"/>
    <n v="3.6"/>
    <n v="146000"/>
  </r>
  <r>
    <x v="11"/>
    <s v="Chiron"/>
    <n v="2021"/>
    <n v="8"/>
    <n v="1479"/>
    <n v="1180"/>
    <n v="2.4"/>
    <n v="3000000"/>
  </r>
  <r>
    <x v="14"/>
    <s v="Jesko"/>
    <n v="2022"/>
    <n v="5"/>
    <n v="1280"/>
    <n v="1106"/>
    <n v="2.5"/>
    <n v="3000000"/>
  </r>
  <r>
    <x v="16"/>
    <s v="Evija"/>
    <n v="2021"/>
    <s v="Electric Motor"/>
    <n v="1972"/>
    <n v="1254"/>
    <n v="2"/>
    <n v="2000000"/>
  </r>
  <r>
    <x v="4"/>
    <s v="Senna"/>
    <n v="2021"/>
    <n v="4"/>
    <n v="789"/>
    <n v="590"/>
    <n v="2.7"/>
    <n v="1000000"/>
  </r>
  <r>
    <x v="22"/>
    <s v="Huayra"/>
    <n v="2021"/>
    <n v="6"/>
    <n v="764"/>
    <n v="738"/>
    <n v="3"/>
    <n v="2600000"/>
  </r>
  <r>
    <x v="24"/>
    <s v="Nevera"/>
    <n v="2021"/>
    <s v="Electric Motor"/>
    <n v="1888"/>
    <n v="1696"/>
    <n v="1.85"/>
    <n v="24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2E2D1-CA01-476F-8989-BA00A1745C5E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42" firstHeaderRow="0" firstDataRow="1" firstDataCol="1"/>
  <pivotFields count="8">
    <pivotField axis="axisRow" compact="0" outline="0" showAll="0">
      <items count="39">
        <item x="25"/>
        <item x="18"/>
        <item x="36"/>
        <item x="19"/>
        <item x="10"/>
        <item x="3"/>
        <item x="20"/>
        <item x="5"/>
        <item x="11"/>
        <item x="7"/>
        <item x="12"/>
        <item x="2"/>
        <item x="8"/>
        <item x="13"/>
        <item x="35"/>
        <item x="14"/>
        <item x="1"/>
        <item x="15"/>
        <item x="16"/>
        <item x="17"/>
        <item x="26"/>
        <item x="4"/>
        <item x="21"/>
        <item x="6"/>
        <item x="9"/>
        <item x="22"/>
        <item x="34"/>
        <item x="23"/>
        <item x="0"/>
        <item x="24"/>
        <item x="27"/>
        <item x="31"/>
        <item x="33"/>
        <item x="28"/>
        <item x="29"/>
        <item x="32"/>
        <item x="37"/>
        <item x="3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3" outline="0" showAll="0"/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 " fld="7" subtotal="count" baseField="0" baseItem="0"/>
    <dataField name="Min of Price (in USD)" fld="7" subtotal="min" baseField="0" baseItem="0" numFmtId="3"/>
    <dataField name="Max of Price (in USD)" fld="7" subtotal="max" baseField="0" baseItem="0" numFmtId="3"/>
    <dataField name="Average of Price (in USD)" fld="7" subtotal="average" baseField="0" baseItem="0" numFmtId="3"/>
    <dataField name="Average of Horsepower" fld="4" subtotal="average" baseField="0" baseItem="0"/>
    <dataField name="Average of Torque (lb-ft)" fld="5" subtotal="average" baseField="0" baseItem="0"/>
    <dataField name="Average of 0-60 MPH Time (seconds)" fld="6" subtotal="average" baseField="0" baseItem="0"/>
  </dataFields>
  <formats count="6">
    <format dxfId="0">
      <pivotArea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3">
      <pivotArea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format>
    <format dxfId="4">
      <pivotArea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5">
      <pivotArea outline="0" fieldPosition="0">
        <references count="2">
          <reference field="4294967294" count="1" selected="0">
            <x v="6"/>
          </reference>
          <reference field="0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A78A-17F6-4942-ABE6-B10C4D7E104E}">
  <dimension ref="A3:H42"/>
  <sheetViews>
    <sheetView workbookViewId="0">
      <selection activeCell="K30" sqref="K30"/>
    </sheetView>
  </sheetViews>
  <sheetFormatPr defaultRowHeight="15"/>
  <cols>
    <col min="1" max="1" width="14.5703125" bestFit="1" customWidth="1"/>
    <col min="2" max="2" width="6.7109375" bestFit="1" customWidth="1"/>
    <col min="3" max="3" width="19.28515625" bestFit="1" customWidth="1"/>
    <col min="4" max="4" width="19.7109375" bestFit="1" customWidth="1"/>
    <col min="5" max="5" width="23.140625" bestFit="1" customWidth="1"/>
    <col min="6" max="6" width="21.85546875" bestFit="1" customWidth="1"/>
    <col min="7" max="7" width="22.85546875" bestFit="1" customWidth="1"/>
    <col min="8" max="8" width="33.5703125" bestFit="1" customWidth="1"/>
  </cols>
  <sheetData>
    <row r="3" spans="1:8">
      <c r="A3" s="2" t="s">
        <v>0</v>
      </c>
      <c r="B3" t="s">
        <v>1</v>
      </c>
      <c r="C3" s="4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>
      <c r="A4" t="s">
        <v>8</v>
      </c>
      <c r="B4" s="3">
        <v>16</v>
      </c>
      <c r="C4" s="4">
        <v>157500</v>
      </c>
      <c r="D4" s="4">
        <v>159495</v>
      </c>
      <c r="E4" s="4">
        <v>157874.0625</v>
      </c>
      <c r="F4" s="3">
        <v>573</v>
      </c>
      <c r="G4" s="3">
        <v>476</v>
      </c>
      <c r="H4" s="5">
        <v>2.7500000000000004</v>
      </c>
    </row>
    <row r="5" spans="1:8">
      <c r="A5" t="s">
        <v>9</v>
      </c>
      <c r="B5" s="3">
        <v>16</v>
      </c>
      <c r="C5" s="4">
        <v>67150</v>
      </c>
      <c r="D5" s="4">
        <v>83250</v>
      </c>
      <c r="E5" s="4">
        <v>74134.0625</v>
      </c>
      <c r="F5" s="3">
        <v>404.5</v>
      </c>
      <c r="G5" s="3">
        <v>373.625</v>
      </c>
      <c r="H5" s="5">
        <v>3.9187499999999997</v>
      </c>
    </row>
    <row r="6" spans="1:8">
      <c r="A6" t="s">
        <v>10</v>
      </c>
      <c r="B6" s="3">
        <v>1</v>
      </c>
      <c r="C6" s="4">
        <v>71500</v>
      </c>
      <c r="D6" s="4">
        <v>71500</v>
      </c>
      <c r="E6" s="4">
        <v>71500</v>
      </c>
      <c r="F6" s="3">
        <v>288</v>
      </c>
      <c r="G6" s="3">
        <v>236</v>
      </c>
      <c r="H6" s="5">
        <v>4.4000000000000004</v>
      </c>
    </row>
    <row r="7" spans="1:8">
      <c r="A7" t="s">
        <v>11</v>
      </c>
      <c r="B7" s="3">
        <v>1</v>
      </c>
      <c r="C7" s="4">
        <v>75000</v>
      </c>
      <c r="D7" s="4">
        <v>75000</v>
      </c>
      <c r="E7" s="4">
        <v>75000</v>
      </c>
      <c r="F7" s="3">
        <v>320</v>
      </c>
      <c r="G7" s="3">
        <v>243</v>
      </c>
      <c r="H7" s="5">
        <v>2.8</v>
      </c>
    </row>
    <row r="8" spans="1:8">
      <c r="A8" t="s">
        <v>12</v>
      </c>
      <c r="B8" s="3">
        <v>50</v>
      </c>
      <c r="C8" s="4">
        <v>142086</v>
      </c>
      <c r="D8" s="4">
        <v>330000</v>
      </c>
      <c r="E8" s="4">
        <v>215079.1</v>
      </c>
      <c r="F8" s="3">
        <v>592.86</v>
      </c>
      <c r="G8" s="3">
        <v>560.79999999999995</v>
      </c>
      <c r="H8" s="5">
        <v>3.4779999999999998</v>
      </c>
    </row>
    <row r="9" spans="1:8">
      <c r="A9" t="s">
        <v>13</v>
      </c>
      <c r="B9" s="3">
        <v>71</v>
      </c>
      <c r="C9" s="4">
        <v>52500</v>
      </c>
      <c r="D9" s="4">
        <v>183300</v>
      </c>
      <c r="E9" s="4">
        <v>93874.929577464791</v>
      </c>
      <c r="F9" s="3">
        <v>502.81690140845069</v>
      </c>
      <c r="G9" s="3">
        <v>485.2957746478873</v>
      </c>
      <c r="H9" s="5">
        <v>3.5535211267605629</v>
      </c>
    </row>
    <row r="10" spans="1:8">
      <c r="A10" t="s">
        <v>14</v>
      </c>
      <c r="B10" s="3">
        <v>25</v>
      </c>
      <c r="C10" s="4">
        <v>201000</v>
      </c>
      <c r="D10" s="4">
        <v>300000</v>
      </c>
      <c r="E10" s="4">
        <v>215629</v>
      </c>
      <c r="F10" s="3">
        <v>603.44000000000005</v>
      </c>
      <c r="G10" s="3">
        <v>637.12</v>
      </c>
      <c r="H10" s="5">
        <v>3.5279999999999996</v>
      </c>
    </row>
    <row r="11" spans="1:8">
      <c r="A11" t="s">
        <v>15</v>
      </c>
      <c r="B11" s="3">
        <v>63</v>
      </c>
      <c r="C11" s="4">
        <v>50000</v>
      </c>
      <c r="D11" s="4">
        <v>148500</v>
      </c>
      <c r="E11" s="4">
        <v>80134.126984126982</v>
      </c>
      <c r="F11" s="3">
        <v>464.15873015873018</v>
      </c>
      <c r="G11" s="3">
        <v>425.33333333333331</v>
      </c>
      <c r="H11" s="5">
        <v>3.8825396825396807</v>
      </c>
    </row>
    <row r="12" spans="1:8">
      <c r="A12" t="s">
        <v>16</v>
      </c>
      <c r="B12" s="3">
        <v>23</v>
      </c>
      <c r="C12" s="4">
        <v>2900000</v>
      </c>
      <c r="D12" s="4">
        <v>5200000</v>
      </c>
      <c r="E12" s="4">
        <v>3251956.5217391304</v>
      </c>
      <c r="F12" s="3">
        <v>1502.2173913043478</v>
      </c>
      <c r="G12" s="3">
        <v>1180</v>
      </c>
      <c r="H12" s="5">
        <v>2.3869565217391298</v>
      </c>
    </row>
    <row r="13" spans="1:8">
      <c r="A13" t="s">
        <v>17</v>
      </c>
      <c r="B13" s="3">
        <v>60</v>
      </c>
      <c r="C13" s="4">
        <v>25000</v>
      </c>
      <c r="D13" s="4">
        <v>85000</v>
      </c>
      <c r="E13" s="4">
        <v>55246.916666666664</v>
      </c>
      <c r="F13" s="3">
        <v>559.66666666666663</v>
      </c>
      <c r="G13" s="3">
        <v>557.16666666666663</v>
      </c>
      <c r="H13" s="5">
        <v>3.6083333333333334</v>
      </c>
    </row>
    <row r="14" spans="1:8">
      <c r="A14" t="s">
        <v>18</v>
      </c>
      <c r="B14" s="3">
        <v>41</v>
      </c>
      <c r="C14" s="4">
        <v>28000</v>
      </c>
      <c r="D14" s="4">
        <v>126190</v>
      </c>
      <c r="E14" s="4">
        <v>70976.829268292684</v>
      </c>
      <c r="F14" s="3">
        <v>702.97560975609758</v>
      </c>
      <c r="G14" s="3">
        <v>641</v>
      </c>
      <c r="H14" s="5">
        <v>3.6024390243902435</v>
      </c>
    </row>
    <row r="15" spans="1:8">
      <c r="A15" t="s">
        <v>19</v>
      </c>
      <c r="B15" s="3">
        <v>55</v>
      </c>
      <c r="C15" s="4">
        <v>215000</v>
      </c>
      <c r="D15" s="4">
        <v>625000</v>
      </c>
      <c r="E15" s="4">
        <v>410099.09090909088</v>
      </c>
      <c r="F15" s="3">
        <v>795.67272727272723</v>
      </c>
      <c r="G15" s="3">
        <v>568.0181818181818</v>
      </c>
      <c r="H15" s="5">
        <v>2.8636363636363642</v>
      </c>
    </row>
    <row r="16" spans="1:8">
      <c r="A16" t="s">
        <v>20</v>
      </c>
      <c r="B16" s="3">
        <v>48</v>
      </c>
      <c r="C16" s="4">
        <v>27205</v>
      </c>
      <c r="D16" s="4">
        <v>500000</v>
      </c>
      <c r="E16" s="4">
        <v>368829.47916666669</v>
      </c>
      <c r="F16" s="3">
        <v>612.45833333333337</v>
      </c>
      <c r="G16" s="3">
        <v>519.16666666666663</v>
      </c>
      <c r="H16" s="5">
        <v>3.2687500000000007</v>
      </c>
    </row>
    <row r="17" spans="1:8">
      <c r="A17" t="s">
        <v>21</v>
      </c>
      <c r="B17" s="3">
        <v>30</v>
      </c>
      <c r="C17" s="4">
        <v>61600</v>
      </c>
      <c r="D17" s="4">
        <v>105900</v>
      </c>
      <c r="E17" s="4">
        <v>83118.333333333328</v>
      </c>
      <c r="F17" s="3">
        <v>448.6</v>
      </c>
      <c r="G17" s="3">
        <v>409.86666666666667</v>
      </c>
      <c r="H17" s="5">
        <v>4.3600000000000012</v>
      </c>
    </row>
    <row r="18" spans="1:8">
      <c r="A18" t="s">
        <v>22</v>
      </c>
      <c r="B18" s="3">
        <v>1</v>
      </c>
      <c r="C18" s="4">
        <v>52200</v>
      </c>
      <c r="D18" s="4">
        <v>52200</v>
      </c>
      <c r="E18" s="4">
        <v>52200</v>
      </c>
      <c r="F18" s="3">
        <v>368</v>
      </c>
      <c r="G18" s="3">
        <v>376</v>
      </c>
      <c r="H18" s="5">
        <v>4.7</v>
      </c>
    </row>
    <row r="19" spans="1:8">
      <c r="A19" t="s">
        <v>23</v>
      </c>
      <c r="B19" s="3">
        <v>15</v>
      </c>
      <c r="C19" s="4">
        <v>2800000</v>
      </c>
      <c r="D19" s="4">
        <v>3000000</v>
      </c>
      <c r="E19" s="4">
        <v>2906666.6666666665</v>
      </c>
      <c r="F19" s="3">
        <v>1364.1333333333334</v>
      </c>
      <c r="G19" s="3">
        <v>1069.5999999999999</v>
      </c>
      <c r="H19" s="5">
        <v>2.4733333333333336</v>
      </c>
    </row>
    <row r="20" spans="1:8">
      <c r="A20" t="s">
        <v>24</v>
      </c>
      <c r="B20" s="3">
        <v>66</v>
      </c>
      <c r="C20" s="4">
        <v>218000</v>
      </c>
      <c r="D20" s="4">
        <v>3600000</v>
      </c>
      <c r="E20" s="4">
        <v>425947.24242424243</v>
      </c>
      <c r="F20" s="3">
        <v>713.07575757575762</v>
      </c>
      <c r="G20" s="3">
        <v>550.16666666666663</v>
      </c>
      <c r="H20" s="5">
        <v>3.0318181818181835</v>
      </c>
    </row>
    <row r="21" spans="1:8">
      <c r="A21" t="s">
        <v>25</v>
      </c>
      <c r="B21" s="3">
        <v>26</v>
      </c>
      <c r="C21" s="4">
        <v>92000</v>
      </c>
      <c r="D21" s="4">
        <v>102550</v>
      </c>
      <c r="E21" s="4">
        <v>93228.846153846156</v>
      </c>
      <c r="F21" s="3">
        <v>471</v>
      </c>
      <c r="G21" s="3">
        <v>398</v>
      </c>
      <c r="H21" s="5">
        <v>4.4000000000000021</v>
      </c>
    </row>
    <row r="22" spans="1:8">
      <c r="A22" t="s">
        <v>26</v>
      </c>
      <c r="B22" s="3">
        <v>35</v>
      </c>
      <c r="C22" s="4">
        <v>94000</v>
      </c>
      <c r="D22" s="4">
        <v>2800000</v>
      </c>
      <c r="E22" s="4">
        <v>508435.85714285716</v>
      </c>
      <c r="F22" s="3">
        <v>683.62857142857138</v>
      </c>
      <c r="G22" s="3">
        <v>477.62857142857143</v>
      </c>
      <c r="H22" s="5">
        <v>3.5685714285714272</v>
      </c>
    </row>
    <row r="23" spans="1:8">
      <c r="A23" t="s">
        <v>27</v>
      </c>
      <c r="B23" s="3">
        <v>25</v>
      </c>
      <c r="C23" s="4">
        <v>132400</v>
      </c>
      <c r="D23" s="4">
        <v>210000</v>
      </c>
      <c r="E23" s="4">
        <v>147656.20000000001</v>
      </c>
      <c r="F23" s="3">
        <v>464.52</v>
      </c>
      <c r="G23" s="3">
        <v>390.41666666666669</v>
      </c>
      <c r="H23" s="5">
        <v>4.588000000000001</v>
      </c>
    </row>
    <row r="24" spans="1:8">
      <c r="A24" t="s">
        <v>28</v>
      </c>
      <c r="B24" s="3">
        <v>1</v>
      </c>
      <c r="C24" s="4">
        <v>26830</v>
      </c>
      <c r="D24" s="4">
        <v>26830</v>
      </c>
      <c r="E24" s="4">
        <v>26830</v>
      </c>
      <c r="F24" s="3">
        <v>181</v>
      </c>
      <c r="G24" s="3">
        <v>151</v>
      </c>
      <c r="H24" s="5">
        <v>6.5</v>
      </c>
    </row>
    <row r="25" spans="1:8">
      <c r="A25" t="s">
        <v>29</v>
      </c>
      <c r="B25" s="3">
        <v>75</v>
      </c>
      <c r="C25" s="4">
        <v>191000</v>
      </c>
      <c r="D25" s="4">
        <v>2300000</v>
      </c>
      <c r="E25" s="4">
        <v>297807.86666666664</v>
      </c>
      <c r="F25" s="3">
        <v>625.08000000000004</v>
      </c>
      <c r="G25" s="3">
        <v>485.41333333333336</v>
      </c>
      <c r="H25" s="5">
        <v>2.9919999999999982</v>
      </c>
    </row>
    <row r="26" spans="1:8">
      <c r="A26" t="s">
        <v>30</v>
      </c>
      <c r="B26" s="3">
        <v>11</v>
      </c>
      <c r="C26" s="4">
        <v>77000</v>
      </c>
      <c r="D26" s="4">
        <v>330000</v>
      </c>
      <c r="E26" s="4">
        <v>169363.63636363635</v>
      </c>
      <c r="F26" s="3">
        <v>584.5454545454545</v>
      </c>
      <c r="G26" s="3">
        <v>545.27272727272725</v>
      </c>
      <c r="H26" s="5">
        <v>3.4636363636363643</v>
      </c>
    </row>
    <row r="27" spans="1:8">
      <c r="A27" t="s">
        <v>31</v>
      </c>
      <c r="B27" s="3">
        <v>54</v>
      </c>
      <c r="C27" s="4">
        <v>50000</v>
      </c>
      <c r="D27" s="4">
        <v>335000</v>
      </c>
      <c r="E27" s="4">
        <v>164661.38888888888</v>
      </c>
      <c r="F27" s="3">
        <v>559.77777777777783</v>
      </c>
      <c r="G27" s="3">
        <v>502.85185185185185</v>
      </c>
      <c r="H27" s="5">
        <v>3.6574074074074074</v>
      </c>
    </row>
    <row r="28" spans="1:8">
      <c r="A28" t="s">
        <v>32</v>
      </c>
      <c r="B28" s="3">
        <v>37</v>
      </c>
      <c r="C28" s="4">
        <v>30000</v>
      </c>
      <c r="D28" s="4">
        <v>212000</v>
      </c>
      <c r="E28" s="4">
        <v>50752.16216216216</v>
      </c>
      <c r="F28" s="3">
        <v>360.48648648648651</v>
      </c>
      <c r="G28" s="3">
        <v>287.62162162162161</v>
      </c>
      <c r="H28" s="5">
        <v>4.7513513513513512</v>
      </c>
    </row>
    <row r="29" spans="1:8">
      <c r="A29" t="s">
        <v>33</v>
      </c>
      <c r="B29" s="3">
        <v>12</v>
      </c>
      <c r="C29" s="4">
        <v>2600000</v>
      </c>
      <c r="D29" s="4">
        <v>3500000</v>
      </c>
      <c r="E29" s="4">
        <v>2791666.6666666665</v>
      </c>
      <c r="F29" s="3">
        <v>758.33333333333337</v>
      </c>
      <c r="G29" s="3">
        <v>744</v>
      </c>
      <c r="H29" s="5">
        <v>2.8000000000000007</v>
      </c>
    </row>
    <row r="30" spans="1:8">
      <c r="A30" t="s">
        <v>34</v>
      </c>
      <c r="B30" s="3">
        <v>2</v>
      </c>
      <c r="C30" s="4">
        <v>2500000</v>
      </c>
      <c r="D30" s="4">
        <v>2500000</v>
      </c>
      <c r="E30" s="4">
        <v>2500000</v>
      </c>
      <c r="F30" s="3">
        <v>1873</v>
      </c>
      <c r="G30" s="3">
        <v>1696</v>
      </c>
      <c r="H30" s="5">
        <v>1.9</v>
      </c>
    </row>
    <row r="31" spans="1:8">
      <c r="A31" t="s">
        <v>35</v>
      </c>
      <c r="B31" s="3">
        <v>1</v>
      </c>
      <c r="C31" s="4">
        <v>155000</v>
      </c>
      <c r="D31" s="4">
        <v>155000</v>
      </c>
      <c r="E31" s="4">
        <v>155000</v>
      </c>
      <c r="F31" s="3">
        <v>600</v>
      </c>
      <c r="G31" s="3">
        <v>738</v>
      </c>
      <c r="H31" s="5">
        <v>4.0999999999999996</v>
      </c>
    </row>
    <row r="32" spans="1:8">
      <c r="A32" t="s">
        <v>36</v>
      </c>
      <c r="B32" s="3">
        <v>88</v>
      </c>
      <c r="C32" s="4">
        <v>58900</v>
      </c>
      <c r="D32" s="4">
        <v>1800000</v>
      </c>
      <c r="E32" s="4">
        <v>129478.40909090909</v>
      </c>
      <c r="F32" s="3">
        <v>454.31818181818181</v>
      </c>
      <c r="G32" s="3">
        <v>415.43181818181819</v>
      </c>
      <c r="H32" s="5">
        <v>4.064772727272727</v>
      </c>
    </row>
    <row r="33" spans="1:8">
      <c r="A33" t="s">
        <v>37</v>
      </c>
      <c r="B33" s="3">
        <v>14</v>
      </c>
      <c r="C33" s="4">
        <v>2400000</v>
      </c>
      <c r="D33" s="4">
        <v>2400000</v>
      </c>
      <c r="E33" s="4">
        <v>2400000</v>
      </c>
      <c r="F33" s="3">
        <v>1910.2857142857142</v>
      </c>
      <c r="G33" s="3">
        <v>1701.1428571428571</v>
      </c>
      <c r="H33" s="5">
        <v>1.8642857142857145</v>
      </c>
    </row>
    <row r="34" spans="1:8">
      <c r="A34" t="s">
        <v>38</v>
      </c>
      <c r="B34" s="3">
        <v>10</v>
      </c>
      <c r="C34" s="4">
        <v>330000</v>
      </c>
      <c r="D34" s="4">
        <v>346300</v>
      </c>
      <c r="E34" s="4">
        <v>333235</v>
      </c>
      <c r="F34" s="3">
        <v>611.79999999999995</v>
      </c>
      <c r="G34" s="3">
        <v>610.9</v>
      </c>
      <c r="H34" s="5">
        <v>4.3899999999999988</v>
      </c>
    </row>
    <row r="35" spans="1:8">
      <c r="A35" t="s">
        <v>39</v>
      </c>
      <c r="B35" s="3">
        <v>1</v>
      </c>
      <c r="C35" s="4">
        <v>1000000</v>
      </c>
      <c r="D35" s="4">
        <v>1000000</v>
      </c>
      <c r="E35" s="4">
        <v>1000000</v>
      </c>
      <c r="F35" s="3">
        <v>435</v>
      </c>
      <c r="G35" s="3">
        <v>440</v>
      </c>
      <c r="H35" s="5">
        <v>4.2</v>
      </c>
    </row>
    <row r="36" spans="1:8">
      <c r="A36" t="s">
        <v>40</v>
      </c>
      <c r="B36" s="3">
        <v>3</v>
      </c>
      <c r="C36" s="4">
        <v>38170</v>
      </c>
      <c r="D36" s="4">
        <v>38170</v>
      </c>
      <c r="E36" s="4">
        <v>38170</v>
      </c>
      <c r="F36" s="3">
        <v>310</v>
      </c>
      <c r="G36" s="3">
        <v>290</v>
      </c>
      <c r="H36" s="5">
        <v>5</v>
      </c>
    </row>
    <row r="37" spans="1:8">
      <c r="A37" t="s">
        <v>41</v>
      </c>
      <c r="B37" s="3">
        <v>19</v>
      </c>
      <c r="C37" s="4">
        <v>119000</v>
      </c>
      <c r="D37" s="4">
        <v>200000</v>
      </c>
      <c r="E37" s="4">
        <v>162527.36842105264</v>
      </c>
      <c r="F37" s="3">
        <v>1709.2307692307693</v>
      </c>
      <c r="G37" s="3">
        <v>1339.1333333333334</v>
      </c>
      <c r="H37" s="5">
        <v>1.9222222222222218</v>
      </c>
    </row>
    <row r="38" spans="1:8">
      <c r="A38" t="s">
        <v>42</v>
      </c>
      <c r="B38" s="3">
        <v>5</v>
      </c>
      <c r="C38" s="4">
        <v>43000</v>
      </c>
      <c r="D38" s="4">
        <v>43090</v>
      </c>
      <c r="E38" s="4">
        <v>43072</v>
      </c>
      <c r="F38" s="3">
        <v>382</v>
      </c>
      <c r="G38" s="3">
        <v>368</v>
      </c>
      <c r="H38" s="5">
        <v>3.9</v>
      </c>
    </row>
    <row r="39" spans="1:8">
      <c r="A39" t="s">
        <v>43</v>
      </c>
      <c r="B39" s="3">
        <v>2</v>
      </c>
      <c r="C39" s="4">
        <v>123500</v>
      </c>
      <c r="D39" s="4">
        <v>157500</v>
      </c>
      <c r="E39" s="4">
        <v>140500</v>
      </c>
      <c r="F39" s="3">
        <v>500</v>
      </c>
      <c r="G39" s="3">
        <v>449.5</v>
      </c>
      <c r="H39" s="5">
        <v>3.8499999999999996</v>
      </c>
    </row>
    <row r="40" spans="1:8">
      <c r="A40" t="s">
        <v>44</v>
      </c>
      <c r="B40" s="3">
        <v>1</v>
      </c>
      <c r="C40" s="4">
        <v>220000</v>
      </c>
      <c r="D40" s="4">
        <v>220000</v>
      </c>
      <c r="E40" s="4">
        <v>220000</v>
      </c>
      <c r="F40" s="3">
        <v>1200</v>
      </c>
      <c r="G40" s="3">
        <v>1300</v>
      </c>
      <c r="H40" s="5">
        <v>2.2999999999999998</v>
      </c>
    </row>
    <row r="41" spans="1:8">
      <c r="A41" t="s">
        <v>45</v>
      </c>
      <c r="B41" s="3">
        <v>3</v>
      </c>
      <c r="C41" s="4">
        <v>1550000</v>
      </c>
      <c r="D41" s="4">
        <v>3400000</v>
      </c>
      <c r="E41" s="4">
        <v>2216666.6666666665</v>
      </c>
      <c r="F41" s="3">
        <v>793.33333333333337</v>
      </c>
      <c r="G41" s="3">
        <v>718</v>
      </c>
      <c r="H41" s="5">
        <v>2.7333333333333329</v>
      </c>
    </row>
    <row r="42" spans="1:8">
      <c r="A42" t="s">
        <v>46</v>
      </c>
      <c r="B42" s="3">
        <v>1007</v>
      </c>
      <c r="C42" s="4">
        <v>25000</v>
      </c>
      <c r="D42" s="4">
        <v>5200000</v>
      </c>
      <c r="E42" s="4">
        <v>382035.94141012907</v>
      </c>
      <c r="F42" s="3">
        <v>637.95204795204791</v>
      </c>
      <c r="G42" s="3">
        <v>550.1487025948104</v>
      </c>
      <c r="H42" s="5">
        <v>3.5150099403578579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2383-3DE5-49C0-8ADE-8275933D5363}">
  <dimension ref="A1:N1008"/>
  <sheetViews>
    <sheetView tabSelected="1" topLeftCell="D1" workbookViewId="0">
      <selection activeCell="N1" sqref="N1"/>
    </sheetView>
  </sheetViews>
  <sheetFormatPr defaultRowHeight="15"/>
  <cols>
    <col min="1" max="1" width="20.42578125" customWidth="1"/>
    <col min="2" max="2" width="22.7109375" customWidth="1"/>
    <col min="3" max="3" width="10.140625" customWidth="1"/>
    <col min="4" max="4" width="16.42578125" customWidth="1"/>
    <col min="5" max="5" width="14.7109375" customWidth="1"/>
    <col min="6" max="6" width="17.42578125" customWidth="1"/>
    <col min="7" max="7" width="25.28515625" customWidth="1"/>
    <col min="8" max="8" width="20.140625" customWidth="1"/>
    <col min="9" max="9" width="18.85546875" customWidth="1"/>
    <col min="10" max="10" width="12.140625" customWidth="1"/>
    <col min="11" max="11" width="22.42578125" bestFit="1" customWidth="1"/>
    <col min="12" max="12" width="17.85546875" bestFit="1" customWidth="1"/>
    <col min="13" max="13" width="13" bestFit="1" customWidth="1"/>
    <col min="14" max="14" width="23.140625" bestFit="1" customWidth="1"/>
  </cols>
  <sheetData>
    <row r="1" spans="1:14">
      <c r="A1" s="6" t="s">
        <v>0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</row>
    <row r="2" spans="1:14">
      <c r="A2" t="s">
        <v>36</v>
      </c>
      <c r="B2" s="7">
        <v>911</v>
      </c>
      <c r="C2">
        <v>2022</v>
      </c>
      <c r="D2">
        <v>3</v>
      </c>
      <c r="E2">
        <v>379</v>
      </c>
      <c r="F2">
        <v>331</v>
      </c>
      <c r="G2">
        <v>4</v>
      </c>
      <c r="H2" s="4">
        <v>101200</v>
      </c>
      <c r="I2" s="8" t="str" cm="1">
        <f t="array" ref="I2">_xlfn.IFS(H2&lt;50000,"Under $50K", H2&lt;100000,"$50K–$100K",
     H2&lt;200000,"$100K–$200K", H2&lt;500000,"$200K–$500K",
     H2&gt;=500000,"$500K+")</f>
        <v>$100K–$200K</v>
      </c>
      <c r="J2" s="9" t="str">
        <f>_xlfn.CONCAT(INT(C2/10)*10,"s")</f>
        <v>2020s</v>
      </c>
      <c r="K2">
        <f>(E2-MIN($E$2:$E$1008))/(MAX($E$2:$E$1008)-MIN($E$2:$E$1008))</f>
        <v>2.0164986251145739E-2</v>
      </c>
      <c r="L2">
        <f>(F2-MIN($F$2:$F$501))/(MAX($F$2:$F$501)-MIN($F$2:$F$501))</f>
        <v>0.19110854503464203</v>
      </c>
      <c r="M2">
        <f>1-((G2-MIN($G$2:$G$501))/(MAX($G$2:$G$501)-MIN($G$2:$G$501)))</f>
        <v>0.53191489361702127</v>
      </c>
      <c r="N2">
        <f>AVERAGE(K2,L2,M2)</f>
        <v>0.247729474967603</v>
      </c>
    </row>
    <row r="3" spans="1:14">
      <c r="A3" t="s">
        <v>24</v>
      </c>
      <c r="B3" t="s">
        <v>60</v>
      </c>
      <c r="C3">
        <v>2021</v>
      </c>
      <c r="D3">
        <v>5.2</v>
      </c>
      <c r="E3">
        <v>630</v>
      </c>
      <c r="F3">
        <v>443</v>
      </c>
      <c r="G3">
        <v>2.8</v>
      </c>
      <c r="H3" s="4">
        <v>274390</v>
      </c>
      <c r="I3" s="8" t="str" cm="1">
        <f t="array" ref="I3">_xlfn.IFS(H3&lt;50000,"Under $50K", H3&lt;100000,"$50K–$100K",
     H3&lt;200000,"$100K–$200K", H3&lt;500000,"$200K–$500K",
     H3&gt;=500000,"$500K+")</f>
        <v>$200K–$500K</v>
      </c>
      <c r="J3" s="9" t="str">
        <f t="shared" ref="J3:J66" si="0">_xlfn.CONCAT(INT(C3/10)*10,"s")</f>
        <v>2020s</v>
      </c>
      <c r="K3">
        <f t="shared" ref="K3:K66" si="1">(E3-MIN($E$2:$E$1008))/(MAX($E$2:$E$1008)-MIN($E$2:$E$1008))</f>
        <v>4.5727670842244626E-2</v>
      </c>
      <c r="L3">
        <f t="shared" ref="L3:L66" si="2">(F3-MIN($F$2:$F$501))/(MAX($F$2:$F$501)-MIN($F$2:$F$501))</f>
        <v>0.25577367205542723</v>
      </c>
      <c r="M3">
        <f t="shared" ref="M3:M66" si="3">1-((G3-MIN($G$2:$G$501))/(MAX($G$2:$G$501)-MIN($G$2:$G$501)))</f>
        <v>0.78723404255319152</v>
      </c>
      <c r="N3">
        <f t="shared" ref="N3:N66" si="4">AVERAGE(K3,L3,M3)</f>
        <v>0.36291179515028782</v>
      </c>
    </row>
    <row r="4" spans="1:14">
      <c r="A4" t="s">
        <v>19</v>
      </c>
      <c r="B4" t="s">
        <v>61</v>
      </c>
      <c r="C4">
        <v>2022</v>
      </c>
      <c r="D4">
        <v>3.9</v>
      </c>
      <c r="E4">
        <v>661</v>
      </c>
      <c r="F4">
        <v>561</v>
      </c>
      <c r="G4">
        <v>3</v>
      </c>
      <c r="H4" s="4">
        <v>333750</v>
      </c>
      <c r="I4" s="8" t="str" cm="1">
        <f t="array" ref="I4">_xlfn.IFS(H4&lt;50000,"Under $50K", H4&lt;100000,"$50K–$100K",
     H4&lt;200000,"$100K–$200K", H4&lt;500000,"$200K–$500K",
     H4&gt;=500000,"$500K+")</f>
        <v>$200K–$500K</v>
      </c>
      <c r="J4" s="9" t="str">
        <f t="shared" si="0"/>
        <v>2020s</v>
      </c>
      <c r="K4">
        <f t="shared" si="1"/>
        <v>4.8884815154292695E-2</v>
      </c>
      <c r="L4">
        <f t="shared" si="2"/>
        <v>0.32390300230946883</v>
      </c>
      <c r="M4">
        <f t="shared" si="3"/>
        <v>0.74468085106382986</v>
      </c>
      <c r="N4">
        <f t="shared" si="4"/>
        <v>0.37248955617586382</v>
      </c>
    </row>
    <row r="5" spans="1:14">
      <c r="A5" t="s">
        <v>13</v>
      </c>
      <c r="B5" t="s">
        <v>62</v>
      </c>
      <c r="C5">
        <v>2022</v>
      </c>
      <c r="D5">
        <v>5.2</v>
      </c>
      <c r="E5">
        <v>562</v>
      </c>
      <c r="F5">
        <v>406</v>
      </c>
      <c r="G5">
        <v>3.2</v>
      </c>
      <c r="H5" s="4">
        <v>142700</v>
      </c>
      <c r="I5" s="8" t="str" cm="1">
        <f t="array" ref="I5">_xlfn.IFS(H5&lt;50000,"Under $50K", H5&lt;100000,"$50K–$100K",
     H5&lt;200000,"$100K–$200K", H5&lt;500000,"$200K–$500K",
     H5&gt;=500000,"$500K+")</f>
        <v>$100K–$200K</v>
      </c>
      <c r="J5" s="9" t="str">
        <f t="shared" si="0"/>
        <v>2020s</v>
      </c>
      <c r="K5">
        <f t="shared" si="1"/>
        <v>3.8802322028719832E-2</v>
      </c>
      <c r="L5">
        <f t="shared" si="2"/>
        <v>0.23441108545034642</v>
      </c>
      <c r="M5">
        <f t="shared" si="3"/>
        <v>0.7021276595744681</v>
      </c>
      <c r="N5">
        <f t="shared" si="4"/>
        <v>0.32511368901784476</v>
      </c>
    </row>
    <row r="6" spans="1:14">
      <c r="A6" t="s">
        <v>29</v>
      </c>
      <c r="B6" t="s">
        <v>63</v>
      </c>
      <c r="C6">
        <v>2021</v>
      </c>
      <c r="D6">
        <v>4</v>
      </c>
      <c r="E6">
        <v>710</v>
      </c>
      <c r="F6">
        <v>568</v>
      </c>
      <c r="G6">
        <v>2.7</v>
      </c>
      <c r="H6" s="4">
        <v>298000</v>
      </c>
      <c r="I6" s="8" t="str" cm="1">
        <f t="array" ref="I6">_xlfn.IFS(H6&lt;50000,"Under $50K", H6&lt;100000,"$50K–$100K",
     H6&lt;200000,"$100K–$200K", H6&lt;500000,"$200K–$500K",
     H6&gt;=500000,"$500K+")</f>
        <v>$200K–$500K</v>
      </c>
      <c r="J6" s="9" t="str">
        <f t="shared" si="0"/>
        <v>2020s</v>
      </c>
      <c r="K6">
        <f t="shared" si="1"/>
        <v>5.3875140034626741E-2</v>
      </c>
      <c r="L6">
        <f t="shared" si="2"/>
        <v>0.32794457274826788</v>
      </c>
      <c r="M6">
        <f t="shared" si="3"/>
        <v>0.80851063829787229</v>
      </c>
      <c r="N6">
        <f t="shared" si="4"/>
        <v>0.39677678369358899</v>
      </c>
    </row>
    <row r="7" spans="1:14">
      <c r="A7" t="s">
        <v>15</v>
      </c>
      <c r="B7" t="s">
        <v>64</v>
      </c>
      <c r="C7">
        <v>2022</v>
      </c>
      <c r="D7">
        <v>4.4000000000000004</v>
      </c>
      <c r="E7">
        <v>617</v>
      </c>
      <c r="F7">
        <v>553</v>
      </c>
      <c r="G7">
        <v>3.1</v>
      </c>
      <c r="H7" s="4">
        <v>130000</v>
      </c>
      <c r="I7" s="8" t="str" cm="1">
        <f t="array" ref="I7">_xlfn.IFS(H7&lt;50000,"Under $50K", H7&lt;100000,"$50K–$100K",
     H7&lt;200000,"$100K–$200K", H7&lt;500000,"$200K–$500K",
     H7&gt;=500000,"$500K+")</f>
        <v>$100K–$200K</v>
      </c>
      <c r="J7" s="9" t="str">
        <f t="shared" si="0"/>
        <v>2020s</v>
      </c>
      <c r="K7">
        <f t="shared" si="1"/>
        <v>4.4403707098482535E-2</v>
      </c>
      <c r="L7">
        <f t="shared" si="2"/>
        <v>0.31928406466512704</v>
      </c>
      <c r="M7">
        <f t="shared" si="3"/>
        <v>0.72340425531914887</v>
      </c>
      <c r="N7">
        <f t="shared" si="4"/>
        <v>0.36236400902758614</v>
      </c>
    </row>
    <row r="8" spans="1:14">
      <c r="A8" t="s">
        <v>31</v>
      </c>
      <c r="B8" t="s">
        <v>65</v>
      </c>
      <c r="C8">
        <v>2021</v>
      </c>
      <c r="D8">
        <v>4</v>
      </c>
      <c r="E8">
        <v>523</v>
      </c>
      <c r="F8">
        <v>494</v>
      </c>
      <c r="G8">
        <v>3.8</v>
      </c>
      <c r="H8" s="4">
        <v>118500</v>
      </c>
      <c r="I8" s="8" t="str" cm="1">
        <f t="array" ref="I8">_xlfn.IFS(H8&lt;50000,"Under $50K", H8&lt;100000,"$50K–$100K",
     H8&lt;200000,"$100K–$200K", H8&lt;500000,"$200K–$500K",
     H8&gt;=500000,"$500K+")</f>
        <v>$100K–$200K</v>
      </c>
      <c r="J8" s="9" t="str">
        <f t="shared" si="0"/>
        <v>2020s</v>
      </c>
      <c r="K8">
        <f t="shared" si="1"/>
        <v>3.4830430797433545E-2</v>
      </c>
      <c r="L8">
        <f t="shared" si="2"/>
        <v>0.28521939953810621</v>
      </c>
      <c r="M8">
        <f t="shared" si="3"/>
        <v>0.57446808510638303</v>
      </c>
      <c r="N8">
        <f t="shared" si="4"/>
        <v>0.29817263848064091</v>
      </c>
    </row>
    <row r="9" spans="1:14">
      <c r="A9" t="s">
        <v>17</v>
      </c>
      <c r="B9" t="s">
        <v>66</v>
      </c>
      <c r="C9">
        <v>2021</v>
      </c>
      <c r="D9">
        <v>6.2</v>
      </c>
      <c r="E9">
        <v>490</v>
      </c>
      <c r="F9">
        <v>465</v>
      </c>
      <c r="G9">
        <v>2.8</v>
      </c>
      <c r="H9" s="4">
        <v>59900</v>
      </c>
      <c r="I9" s="8" t="str" cm="1">
        <f t="array" ref="I9">_xlfn.IFS(H9&lt;50000,"Under $50K", H9&lt;100000,"$50K–$100K",
     H9&lt;200000,"$100K–$200K", H9&lt;500000,"$200K–$500K",
     H9&gt;=500000,"$500K+")</f>
        <v>$50K–$100K</v>
      </c>
      <c r="J9" s="9" t="str">
        <f t="shared" si="0"/>
        <v>2020s</v>
      </c>
      <c r="K9">
        <f t="shared" si="1"/>
        <v>3.1469599755575922E-2</v>
      </c>
      <c r="L9">
        <f t="shared" si="2"/>
        <v>0.26847575057736722</v>
      </c>
      <c r="M9">
        <f t="shared" si="3"/>
        <v>0.78723404255319152</v>
      </c>
      <c r="N9">
        <f t="shared" si="4"/>
        <v>0.3623931309620449</v>
      </c>
    </row>
    <row r="10" spans="1:14">
      <c r="A10" t="s">
        <v>20</v>
      </c>
      <c r="B10" t="s">
        <v>67</v>
      </c>
      <c r="C10">
        <v>2022</v>
      </c>
      <c r="D10">
        <v>5.2</v>
      </c>
      <c r="E10">
        <v>760</v>
      </c>
      <c r="F10">
        <v>625</v>
      </c>
      <c r="G10">
        <v>3.5</v>
      </c>
      <c r="H10" s="4">
        <v>81000</v>
      </c>
      <c r="I10" s="8" t="str" cm="1">
        <f t="array" ref="I10">_xlfn.IFS(H10&lt;50000,"Under $50K", H10&lt;100000,"$50K–$100K",
     H10&lt;200000,"$100K–$200K", H10&lt;500000,"$200K–$500K",
     H10&gt;=500000,"$500K+")</f>
        <v>$50K–$100K</v>
      </c>
      <c r="J10" s="9" t="str">
        <f t="shared" si="0"/>
        <v>2020s</v>
      </c>
      <c r="K10">
        <f t="shared" si="1"/>
        <v>5.8967308279865564E-2</v>
      </c>
      <c r="L10">
        <f t="shared" si="2"/>
        <v>0.36085450346420322</v>
      </c>
      <c r="M10">
        <f t="shared" si="3"/>
        <v>0.63829787234042556</v>
      </c>
      <c r="N10">
        <f t="shared" si="4"/>
        <v>0.35270656136149814</v>
      </c>
    </row>
    <row r="11" spans="1:14">
      <c r="A11" t="s">
        <v>32</v>
      </c>
      <c r="B11" t="s">
        <v>68</v>
      </c>
      <c r="C11">
        <v>2021</v>
      </c>
      <c r="D11">
        <v>3.8</v>
      </c>
      <c r="E11">
        <v>600</v>
      </c>
      <c r="F11">
        <v>481</v>
      </c>
      <c r="G11">
        <v>2.5</v>
      </c>
      <c r="H11" s="4">
        <v>212000</v>
      </c>
      <c r="I11" s="8" t="str" cm="1">
        <f t="array" ref="I11">_xlfn.IFS(H11&lt;50000,"Under $50K", H11&lt;100000,"$50K–$100K",
     H11&lt;200000,"$100K–$200K", H11&lt;500000,"$200K–$500K",
     H11&gt;=500000,"$500K+")</f>
        <v>$200K–$500K</v>
      </c>
      <c r="J11" s="9" t="str">
        <f t="shared" si="0"/>
        <v>2020s</v>
      </c>
      <c r="K11">
        <f t="shared" si="1"/>
        <v>4.2672369895101335E-2</v>
      </c>
      <c r="L11">
        <f t="shared" si="2"/>
        <v>0.27771362586605081</v>
      </c>
      <c r="M11">
        <f t="shared" si="3"/>
        <v>0.85106382978723405</v>
      </c>
      <c r="N11">
        <f t="shared" si="4"/>
        <v>0.39048327518279535</v>
      </c>
    </row>
    <row r="12" spans="1:14">
      <c r="A12" t="s">
        <v>12</v>
      </c>
      <c r="B12" t="s">
        <v>69</v>
      </c>
      <c r="C12">
        <v>2021</v>
      </c>
      <c r="D12">
        <v>5.2</v>
      </c>
      <c r="E12">
        <v>630</v>
      </c>
      <c r="F12">
        <v>516</v>
      </c>
      <c r="G12">
        <v>3.5</v>
      </c>
      <c r="H12" s="4">
        <v>201495</v>
      </c>
      <c r="I12" s="8" t="str" cm="1">
        <f t="array" ref="I12">_xlfn.IFS(H12&lt;50000,"Under $50K", H12&lt;100000,"$50K–$100K",
     H12&lt;200000,"$100K–$200K", H12&lt;500000,"$200K–$500K",
     H12&gt;=500000,"$500K+")</f>
        <v>$200K–$500K</v>
      </c>
      <c r="J12" s="9" t="str">
        <f t="shared" si="0"/>
        <v>2020s</v>
      </c>
      <c r="K12">
        <f t="shared" si="1"/>
        <v>4.5727670842244626E-2</v>
      </c>
      <c r="L12">
        <f t="shared" si="2"/>
        <v>0.29792147806004621</v>
      </c>
      <c r="M12">
        <f t="shared" si="3"/>
        <v>0.63829787234042556</v>
      </c>
      <c r="N12">
        <f t="shared" si="4"/>
        <v>0.32731567374757214</v>
      </c>
    </row>
    <row r="13" spans="1:14">
      <c r="A13" t="s">
        <v>16</v>
      </c>
      <c r="B13" t="s">
        <v>70</v>
      </c>
      <c r="C13">
        <v>2021</v>
      </c>
      <c r="D13">
        <v>8</v>
      </c>
      <c r="E13">
        <v>1500</v>
      </c>
      <c r="F13">
        <v>1180</v>
      </c>
      <c r="G13">
        <v>2.4</v>
      </c>
      <c r="H13" s="4">
        <v>3000000</v>
      </c>
      <c r="I13" s="8" t="str" cm="1">
        <f t="array" ref="I13">_xlfn.IFS(H13&lt;50000,"Under $50K", H13&lt;100000,"$50K–$100K",
     H13&lt;200000,"$100K–$200K", H13&lt;500000,"$200K–$500K",
     H13&gt;=500000,"$500K+")</f>
        <v>$500K+</v>
      </c>
      <c r="J13" s="9" t="str">
        <f t="shared" si="0"/>
        <v>2020s</v>
      </c>
      <c r="K13">
        <f t="shared" si="1"/>
        <v>0.13433139830940014</v>
      </c>
      <c r="L13">
        <f t="shared" si="2"/>
        <v>0.68129330254041576</v>
      </c>
      <c r="M13">
        <f t="shared" si="3"/>
        <v>0.87234042553191493</v>
      </c>
      <c r="N13">
        <f t="shared" si="4"/>
        <v>0.5626550421272436</v>
      </c>
    </row>
    <row r="14" spans="1:14">
      <c r="A14" t="s">
        <v>18</v>
      </c>
      <c r="B14" t="s">
        <v>71</v>
      </c>
      <c r="C14">
        <v>2022</v>
      </c>
      <c r="D14">
        <v>6.2</v>
      </c>
      <c r="E14">
        <v>717</v>
      </c>
      <c r="F14">
        <v>656</v>
      </c>
      <c r="G14">
        <v>3.5</v>
      </c>
      <c r="H14" s="4">
        <v>61000</v>
      </c>
      <c r="I14" s="8" t="str" cm="1">
        <f t="array" ref="I14">_xlfn.IFS(H14&lt;50000,"Under $50K", H14&lt;100000,"$50K–$100K",
     H14&lt;200000,"$100K–$200K", H14&lt;500000,"$200K–$500K",
     H14&gt;=500000,"$500K+")</f>
        <v>$50K–$100K</v>
      </c>
      <c r="J14" s="9" t="str">
        <f t="shared" si="0"/>
        <v>2020s</v>
      </c>
      <c r="K14">
        <f t="shared" si="1"/>
        <v>5.4588043588960182E-2</v>
      </c>
      <c r="L14">
        <f t="shared" si="2"/>
        <v>0.3787528868360277</v>
      </c>
      <c r="M14">
        <f t="shared" si="3"/>
        <v>0.63829787234042556</v>
      </c>
      <c r="N14">
        <f t="shared" si="4"/>
        <v>0.35721293425513778</v>
      </c>
    </row>
    <row r="15" spans="1:14">
      <c r="A15" t="s">
        <v>21</v>
      </c>
      <c r="B15" t="s">
        <v>72</v>
      </c>
      <c r="C15">
        <v>2022</v>
      </c>
      <c r="D15">
        <v>3</v>
      </c>
      <c r="E15">
        <v>296</v>
      </c>
      <c r="F15">
        <v>295</v>
      </c>
      <c r="G15">
        <v>5.4</v>
      </c>
      <c r="H15" s="4">
        <v>70100</v>
      </c>
      <c r="I15" s="8" t="str" cm="1">
        <f t="array" ref="I15">_xlfn.IFS(H15&lt;50000,"Under $50K", H15&lt;100000,"$50K–$100K",
     H15&lt;200000,"$100K–$200K", H15&lt;500000,"$200K–$500K",
     H15&gt;=500000,"$500K+")</f>
        <v>$50K–$100K</v>
      </c>
      <c r="J15" s="9" t="str">
        <f t="shared" si="0"/>
        <v>2020s</v>
      </c>
      <c r="K15">
        <f t="shared" si="1"/>
        <v>1.1711986964049292E-2</v>
      </c>
      <c r="L15">
        <f t="shared" si="2"/>
        <v>0.17032332563510394</v>
      </c>
      <c r="M15">
        <f t="shared" si="3"/>
        <v>0.23404255319148926</v>
      </c>
      <c r="N15">
        <f t="shared" si="4"/>
        <v>0.13869262193021417</v>
      </c>
    </row>
    <row r="16" spans="1:14">
      <c r="A16" t="s">
        <v>23</v>
      </c>
      <c r="B16" t="s">
        <v>73</v>
      </c>
      <c r="C16">
        <v>2021</v>
      </c>
      <c r="D16">
        <v>5</v>
      </c>
      <c r="E16">
        <v>1280</v>
      </c>
      <c r="F16">
        <v>1015</v>
      </c>
      <c r="G16">
        <v>2.5</v>
      </c>
      <c r="H16" s="4">
        <v>2800000</v>
      </c>
      <c r="I16" s="8" t="str" cm="1">
        <f t="array" ref="I16">_xlfn.IFS(H16&lt;50000,"Under $50K", H16&lt;100000,"$50K–$100K",
     H16&lt;200000,"$100K–$200K", H16&lt;500000,"$200K–$500K",
     H16&gt;=500000,"$500K+")</f>
        <v>$500K+</v>
      </c>
      <c r="J16" s="9" t="str">
        <f t="shared" si="0"/>
        <v>2020s</v>
      </c>
      <c r="K16">
        <f t="shared" si="1"/>
        <v>0.11192585803034932</v>
      </c>
      <c r="L16">
        <f t="shared" si="2"/>
        <v>0.58602771362586603</v>
      </c>
      <c r="M16">
        <f t="shared" si="3"/>
        <v>0.85106382978723405</v>
      </c>
      <c r="N16">
        <f t="shared" si="4"/>
        <v>0.51633913381448304</v>
      </c>
    </row>
    <row r="17" spans="1:14">
      <c r="A17" t="s">
        <v>25</v>
      </c>
      <c r="B17" t="s">
        <v>74</v>
      </c>
      <c r="C17">
        <v>2021</v>
      </c>
      <c r="D17">
        <v>5</v>
      </c>
      <c r="E17">
        <v>471</v>
      </c>
      <c r="F17">
        <v>398</v>
      </c>
      <c r="G17">
        <v>4.4000000000000004</v>
      </c>
      <c r="H17" s="4">
        <v>92950</v>
      </c>
      <c r="I17" s="8" t="str" cm="1">
        <f t="array" ref="I17">_xlfn.IFS(H17&lt;50000,"Under $50K", H17&lt;100000,"$50K–$100K",
     H17&lt;200000,"$100K–$200K", H17&lt;500000,"$200K–$500K",
     H17&gt;=500000,"$500K+")</f>
        <v>$50K–$100K</v>
      </c>
      <c r="J17" s="9" t="str">
        <f t="shared" si="0"/>
        <v>2020s</v>
      </c>
      <c r="K17">
        <f t="shared" si="1"/>
        <v>2.9534575822385171E-2</v>
      </c>
      <c r="L17">
        <f t="shared" si="2"/>
        <v>0.22979214780600463</v>
      </c>
      <c r="M17">
        <f t="shared" si="3"/>
        <v>0.44680851063829774</v>
      </c>
      <c r="N17">
        <f t="shared" si="4"/>
        <v>0.23537841142222918</v>
      </c>
    </row>
    <row r="18" spans="1:14">
      <c r="A18" t="s">
        <v>26</v>
      </c>
      <c r="B18" t="s">
        <v>75</v>
      </c>
      <c r="C18">
        <v>2021</v>
      </c>
      <c r="D18">
        <v>3.5</v>
      </c>
      <c r="E18">
        <v>416</v>
      </c>
      <c r="F18">
        <v>317</v>
      </c>
      <c r="G18">
        <v>3.8</v>
      </c>
      <c r="H18" s="4">
        <v>104450</v>
      </c>
      <c r="I18" s="8" t="str" cm="1">
        <f t="array" ref="I18">_xlfn.IFS(H18&lt;50000,"Under $50K", H18&lt;100000,"$50K–$100K",
     H18&lt;200000,"$100K–$200K", H18&lt;500000,"$200K–$500K",
     H18&gt;=500000,"$500K+")</f>
        <v>$100K–$200K</v>
      </c>
      <c r="J18" s="9" t="str">
        <f t="shared" si="0"/>
        <v>2020s</v>
      </c>
      <c r="K18">
        <f t="shared" si="1"/>
        <v>2.3933190752622468E-2</v>
      </c>
      <c r="L18">
        <f t="shared" si="2"/>
        <v>0.18302540415704388</v>
      </c>
      <c r="M18">
        <f t="shared" si="3"/>
        <v>0.57446808510638303</v>
      </c>
      <c r="N18">
        <f t="shared" si="4"/>
        <v>0.26047556000534983</v>
      </c>
    </row>
    <row r="19" spans="1:14">
      <c r="A19" t="s">
        <v>27</v>
      </c>
      <c r="B19" t="s">
        <v>76</v>
      </c>
      <c r="C19">
        <v>2021</v>
      </c>
      <c r="D19">
        <v>4.7</v>
      </c>
      <c r="E19">
        <v>454</v>
      </c>
      <c r="F19">
        <v>384</v>
      </c>
      <c r="G19">
        <v>4.8</v>
      </c>
      <c r="H19" s="4">
        <v>150000</v>
      </c>
      <c r="I19" s="8" t="str" cm="1">
        <f t="array" ref="I19">_xlfn.IFS(H19&lt;50000,"Under $50K", H19&lt;100000,"$50K–$100K",
     H19&lt;200000,"$100K–$200K", H19&lt;500000,"$200K–$500K",
     H19&gt;=500000,"$500K+")</f>
        <v>$100K–$200K</v>
      </c>
      <c r="J19" s="9" t="str">
        <f t="shared" si="0"/>
        <v>2020s</v>
      </c>
      <c r="K19">
        <f t="shared" si="1"/>
        <v>2.7803238619003971E-2</v>
      </c>
      <c r="L19">
        <f t="shared" si="2"/>
        <v>0.22170900692840648</v>
      </c>
      <c r="M19">
        <f t="shared" si="3"/>
        <v>0.36170212765957455</v>
      </c>
      <c r="N19">
        <f t="shared" si="4"/>
        <v>0.20373812440232833</v>
      </c>
    </row>
    <row r="20" spans="1:14">
      <c r="A20" t="s">
        <v>36</v>
      </c>
      <c r="B20" t="s">
        <v>77</v>
      </c>
      <c r="C20">
        <v>2021</v>
      </c>
      <c r="D20">
        <v>2</v>
      </c>
      <c r="E20">
        <v>300</v>
      </c>
      <c r="F20">
        <v>280</v>
      </c>
      <c r="G20">
        <v>4.7</v>
      </c>
      <c r="H20" s="4">
        <v>62000</v>
      </c>
      <c r="I20" s="8" t="str" cm="1">
        <f t="array" ref="I20">_xlfn.IFS(H20&lt;50000,"Under $50K", H20&lt;100000,"$50K–$100K",
     H20&lt;200000,"$100K–$200K", H20&lt;500000,"$200K–$500K",
     H20&gt;=500000,"$500K+")</f>
        <v>$50K–$100K</v>
      </c>
      <c r="J20" s="9" t="str">
        <f t="shared" si="0"/>
        <v>2020s</v>
      </c>
      <c r="K20">
        <f t="shared" si="1"/>
        <v>1.2119360423668398E-2</v>
      </c>
      <c r="L20">
        <f t="shared" si="2"/>
        <v>0.16166281755196305</v>
      </c>
      <c r="M20">
        <f t="shared" si="3"/>
        <v>0.38297872340425532</v>
      </c>
      <c r="N20">
        <f t="shared" si="4"/>
        <v>0.18558696712662892</v>
      </c>
    </row>
    <row r="21" spans="1:14">
      <c r="A21" t="s">
        <v>9</v>
      </c>
      <c r="B21" t="s">
        <v>78</v>
      </c>
      <c r="C21">
        <v>2022</v>
      </c>
      <c r="D21">
        <v>2.9</v>
      </c>
      <c r="E21">
        <v>505</v>
      </c>
      <c r="F21">
        <v>443</v>
      </c>
      <c r="G21">
        <v>3.8</v>
      </c>
      <c r="H21" s="4">
        <v>78000</v>
      </c>
      <c r="I21" s="8" t="str" cm="1">
        <f t="array" ref="I21">_xlfn.IFS(H21&lt;50000,"Under $50K", H21&lt;100000,"$50K–$100K",
     H21&lt;200000,"$100K–$200K", H21&lt;500000,"$200K–$500K",
     H21&gt;=500000,"$500K+")</f>
        <v>$50K–$100K</v>
      </c>
      <c r="J21" s="9" t="str">
        <f t="shared" si="0"/>
        <v>2020s</v>
      </c>
      <c r="K21">
        <f t="shared" si="1"/>
        <v>3.2997250229147568E-2</v>
      </c>
      <c r="L21">
        <f t="shared" si="2"/>
        <v>0.25577367205542723</v>
      </c>
      <c r="M21">
        <f t="shared" si="3"/>
        <v>0.57446808510638303</v>
      </c>
      <c r="N21">
        <f t="shared" si="4"/>
        <v>0.28774633579698594</v>
      </c>
    </row>
    <row r="22" spans="1:14">
      <c r="A22" t="s">
        <v>11</v>
      </c>
      <c r="B22" t="s">
        <v>79</v>
      </c>
      <c r="C22">
        <v>2021</v>
      </c>
      <c r="D22">
        <v>2</v>
      </c>
      <c r="E22">
        <v>320</v>
      </c>
      <c r="F22">
        <v>243</v>
      </c>
      <c r="G22">
        <v>2.8</v>
      </c>
      <c r="H22" s="4">
        <v>75000</v>
      </c>
      <c r="I22" s="8" t="str" cm="1">
        <f t="array" ref="I22">_xlfn.IFS(H22&lt;50000,"Under $50K", H22&lt;100000,"$50K–$100K",
     H22&lt;200000,"$100K–$200K", H22&lt;500000,"$200K–$500K",
     H22&gt;=500000,"$500K+")</f>
        <v>$50K–$100K</v>
      </c>
      <c r="J22" s="9" t="str">
        <f t="shared" si="0"/>
        <v>2020s</v>
      </c>
      <c r="K22">
        <f t="shared" si="1"/>
        <v>1.4156227721763927E-2</v>
      </c>
      <c r="L22">
        <f t="shared" si="2"/>
        <v>0.14030023094688221</v>
      </c>
      <c r="M22">
        <f t="shared" si="3"/>
        <v>0.78723404255319152</v>
      </c>
      <c r="N22">
        <f t="shared" si="4"/>
        <v>0.31389683374061256</v>
      </c>
    </row>
    <row r="23" spans="1:14">
      <c r="A23" t="s">
        <v>14</v>
      </c>
      <c r="B23" t="s">
        <v>80</v>
      </c>
      <c r="C23">
        <v>2021</v>
      </c>
      <c r="D23">
        <v>6</v>
      </c>
      <c r="E23">
        <v>626</v>
      </c>
      <c r="F23">
        <v>664</v>
      </c>
      <c r="G23">
        <v>3.6</v>
      </c>
      <c r="H23" s="4">
        <v>225000</v>
      </c>
      <c r="I23" s="8" t="str" cm="1">
        <f t="array" ref="I23">_xlfn.IFS(H23&lt;50000,"Under $50K", H23&lt;100000,"$50K–$100K",
     H23&lt;200000,"$100K–$200K", H23&lt;500000,"$200K–$500K",
     H23&gt;=500000,"$500K+")</f>
        <v>$200K–$500K</v>
      </c>
      <c r="J23" s="9" t="str">
        <f t="shared" si="0"/>
        <v>2020s</v>
      </c>
      <c r="K23">
        <f t="shared" si="1"/>
        <v>4.5320297382625524E-2</v>
      </c>
      <c r="L23">
        <f t="shared" si="2"/>
        <v>0.38337182448036949</v>
      </c>
      <c r="M23">
        <f t="shared" si="3"/>
        <v>0.61702127659574468</v>
      </c>
      <c r="N23">
        <f t="shared" si="4"/>
        <v>0.34857113281957991</v>
      </c>
    </row>
    <row r="24" spans="1:14">
      <c r="A24" t="s">
        <v>29</v>
      </c>
      <c r="B24" t="s">
        <v>81</v>
      </c>
      <c r="C24">
        <v>2022</v>
      </c>
      <c r="D24">
        <v>3</v>
      </c>
      <c r="E24">
        <v>671</v>
      </c>
      <c r="F24">
        <v>531</v>
      </c>
      <c r="G24">
        <v>3</v>
      </c>
      <c r="H24" s="4">
        <v>225000</v>
      </c>
      <c r="I24" s="8" t="str" cm="1">
        <f t="array" ref="I24">_xlfn.IFS(H24&lt;50000,"Under $50K", H24&lt;100000,"$50K–$100K",
     H24&lt;200000,"$100K–$200K", H24&lt;500000,"$200K–$500K",
     H24&gt;=500000,"$500K+")</f>
        <v>$200K–$500K</v>
      </c>
      <c r="J24" s="9" t="str">
        <f t="shared" si="0"/>
        <v>2020s</v>
      </c>
      <c r="K24">
        <f t="shared" si="1"/>
        <v>4.9903248803340461E-2</v>
      </c>
      <c r="L24">
        <f t="shared" si="2"/>
        <v>0.30658198614318705</v>
      </c>
      <c r="M24">
        <f t="shared" si="3"/>
        <v>0.74468085106382986</v>
      </c>
      <c r="N24">
        <f t="shared" si="4"/>
        <v>0.36705536200345246</v>
      </c>
    </row>
    <row r="25" spans="1:14">
      <c r="A25" t="s">
        <v>30</v>
      </c>
      <c r="B25" t="s">
        <v>82</v>
      </c>
      <c r="C25">
        <v>2021</v>
      </c>
      <c r="D25">
        <v>6.2</v>
      </c>
      <c r="E25">
        <v>622</v>
      </c>
      <c r="F25">
        <v>468</v>
      </c>
      <c r="G25">
        <v>3.5</v>
      </c>
      <c r="H25" s="4">
        <v>248000</v>
      </c>
      <c r="I25" s="8" t="str" cm="1">
        <f t="array" ref="I25">_xlfn.IFS(H25&lt;50000,"Under $50K", H25&lt;100000,"$50K–$100K",
     H25&lt;200000,"$100K–$200K", H25&lt;500000,"$200K–$500K",
     H25&gt;=500000,"$500K+")</f>
        <v>$200K–$500K</v>
      </c>
      <c r="J25" s="9" t="str">
        <f t="shared" si="0"/>
        <v>2020s</v>
      </c>
      <c r="K25">
        <f t="shared" si="1"/>
        <v>4.4912923923006415E-2</v>
      </c>
      <c r="L25">
        <f t="shared" si="2"/>
        <v>0.2702078521939954</v>
      </c>
      <c r="M25">
        <f t="shared" si="3"/>
        <v>0.63829787234042556</v>
      </c>
      <c r="N25">
        <f t="shared" si="4"/>
        <v>0.31780621615247578</v>
      </c>
    </row>
    <row r="26" spans="1:14">
      <c r="A26" t="s">
        <v>33</v>
      </c>
      <c r="B26" t="s">
        <v>83</v>
      </c>
      <c r="C26">
        <v>2021</v>
      </c>
      <c r="D26">
        <v>6</v>
      </c>
      <c r="E26">
        <v>720</v>
      </c>
      <c r="F26">
        <v>737</v>
      </c>
      <c r="G26">
        <v>2.8</v>
      </c>
      <c r="H26" s="4">
        <v>2800000</v>
      </c>
      <c r="I26" s="8" t="str" cm="1">
        <f t="array" ref="I26">_xlfn.IFS(H26&lt;50000,"Under $50K", H26&lt;100000,"$50K–$100K",
     H26&lt;200000,"$100K–$200K", H26&lt;500000,"$200K–$500K",
     H26&gt;=500000,"$500K+")</f>
        <v>$500K+</v>
      </c>
      <c r="J26" s="9" t="str">
        <f t="shared" si="0"/>
        <v>2020s</v>
      </c>
      <c r="K26">
        <f t="shared" si="1"/>
        <v>5.4893573683674507E-2</v>
      </c>
      <c r="L26">
        <f t="shared" si="2"/>
        <v>0.42551963048498848</v>
      </c>
      <c r="M26">
        <f t="shared" si="3"/>
        <v>0.78723404255319152</v>
      </c>
      <c r="N26">
        <f t="shared" si="4"/>
        <v>0.42254908224061816</v>
      </c>
    </row>
    <row r="27" spans="1:14">
      <c r="A27" t="s">
        <v>35</v>
      </c>
      <c r="B27" s="7">
        <v>1</v>
      </c>
      <c r="C27">
        <v>2021</v>
      </c>
      <c r="D27">
        <v>2</v>
      </c>
      <c r="E27">
        <v>600</v>
      </c>
      <c r="F27">
        <v>738</v>
      </c>
      <c r="G27">
        <v>4.0999999999999996</v>
      </c>
      <c r="H27" s="4">
        <v>155000</v>
      </c>
      <c r="I27" s="8" t="str" cm="1">
        <f t="array" ref="I27">_xlfn.IFS(H27&lt;50000,"Under $50K", H27&lt;100000,"$50K–$100K",
     H27&lt;200000,"$100K–$200K", H27&lt;500000,"$200K–$500K",
     H27&gt;=500000,"$500K+")</f>
        <v>$100K–$200K</v>
      </c>
      <c r="J27" s="9" t="str">
        <f t="shared" si="0"/>
        <v>2020s</v>
      </c>
      <c r="K27">
        <f t="shared" si="1"/>
        <v>4.2672369895101335E-2</v>
      </c>
      <c r="L27">
        <f t="shared" si="2"/>
        <v>0.42609699769053117</v>
      </c>
      <c r="M27">
        <f t="shared" si="3"/>
        <v>0.5106382978723405</v>
      </c>
      <c r="N27">
        <f t="shared" si="4"/>
        <v>0.32646922181932431</v>
      </c>
    </row>
    <row r="28" spans="1:14">
      <c r="A28" t="s">
        <v>37</v>
      </c>
      <c r="B28" t="s">
        <v>84</v>
      </c>
      <c r="C28">
        <v>2022</v>
      </c>
      <c r="D28" t="s">
        <v>85</v>
      </c>
      <c r="E28">
        <v>1914</v>
      </c>
      <c r="F28">
        <v>1696</v>
      </c>
      <c r="G28">
        <v>1.85</v>
      </c>
      <c r="H28" s="4">
        <v>2400000</v>
      </c>
      <c r="I28" s="8" t="str" cm="1">
        <f t="array" ref="I28">_xlfn.IFS(H28&lt;50000,"Under $50K", H28&lt;100000,"$50K–$100K",
     H28&lt;200000,"$100K–$200K", H28&lt;500000,"$200K–$500K",
     H28&gt;=500000,"$500K+")</f>
        <v>$500K+</v>
      </c>
      <c r="J28" s="9" t="str">
        <f t="shared" si="0"/>
        <v>2020s</v>
      </c>
      <c r="K28">
        <f t="shared" si="1"/>
        <v>0.1764945513799776</v>
      </c>
      <c r="L28">
        <f t="shared" si="2"/>
        <v>0.97921478060046185</v>
      </c>
      <c r="M28">
        <f t="shared" si="3"/>
        <v>0.98936170212765961</v>
      </c>
      <c r="N28">
        <f t="shared" si="4"/>
        <v>0.71502367803603306</v>
      </c>
    </row>
    <row r="29" spans="1:14">
      <c r="A29" t="s">
        <v>36</v>
      </c>
      <c r="B29" t="s">
        <v>86</v>
      </c>
      <c r="C29">
        <v>2022</v>
      </c>
      <c r="D29">
        <v>4</v>
      </c>
      <c r="E29">
        <v>414</v>
      </c>
      <c r="F29">
        <v>309</v>
      </c>
      <c r="G29">
        <v>3.8</v>
      </c>
      <c r="H29" s="4">
        <v>100200</v>
      </c>
      <c r="I29" s="8" t="str" cm="1">
        <f t="array" ref="I29">_xlfn.IFS(H29&lt;50000,"Under $50K", H29&lt;100000,"$50K–$100K",
     H29&lt;200000,"$100K–$200K", H29&lt;500000,"$200K–$500K",
     H29&gt;=500000,"$500K+")</f>
        <v>$100K–$200K</v>
      </c>
      <c r="J29" s="9" t="str">
        <f t="shared" si="0"/>
        <v>2020s</v>
      </c>
      <c r="K29">
        <f t="shared" si="1"/>
        <v>2.3729504022812913E-2</v>
      </c>
      <c r="L29">
        <f t="shared" si="2"/>
        <v>0.17840646651270209</v>
      </c>
      <c r="M29">
        <f t="shared" si="3"/>
        <v>0.57446808510638303</v>
      </c>
      <c r="N29">
        <f t="shared" si="4"/>
        <v>0.25886801854729935</v>
      </c>
    </row>
    <row r="30" spans="1:14">
      <c r="A30" t="s">
        <v>24</v>
      </c>
      <c r="B30" t="s">
        <v>87</v>
      </c>
      <c r="C30">
        <v>2021</v>
      </c>
      <c r="D30">
        <v>6.5</v>
      </c>
      <c r="E30">
        <v>759</v>
      </c>
      <c r="F30">
        <v>531</v>
      </c>
      <c r="G30">
        <v>2.8</v>
      </c>
      <c r="H30" s="4">
        <v>517770</v>
      </c>
      <c r="I30" s="8" t="str" cm="1">
        <f t="array" ref="I30">_xlfn.IFS(H30&lt;50000,"Under $50K", H30&lt;100000,"$50K–$100K",
     H30&lt;200000,"$100K–$200K", H30&lt;500000,"$200K–$500K",
     H30&gt;=500000,"$500K+")</f>
        <v>$500K+</v>
      </c>
      <c r="J30" s="9" t="str">
        <f t="shared" si="0"/>
        <v>2020s</v>
      </c>
      <c r="K30">
        <f t="shared" si="1"/>
        <v>5.8865464914960787E-2</v>
      </c>
      <c r="L30">
        <f t="shared" si="2"/>
        <v>0.30658198614318705</v>
      </c>
      <c r="M30">
        <f t="shared" si="3"/>
        <v>0.78723404255319152</v>
      </c>
      <c r="N30">
        <f t="shared" si="4"/>
        <v>0.38422716453711314</v>
      </c>
    </row>
    <row r="31" spans="1:14">
      <c r="A31" t="s">
        <v>19</v>
      </c>
      <c r="B31" t="s">
        <v>88</v>
      </c>
      <c r="C31">
        <v>2021</v>
      </c>
      <c r="D31">
        <v>4</v>
      </c>
      <c r="E31">
        <v>986</v>
      </c>
      <c r="F31">
        <v>590</v>
      </c>
      <c r="G31">
        <v>2.5</v>
      </c>
      <c r="H31" s="4">
        <v>625000</v>
      </c>
      <c r="I31" s="8" t="str" cm="1">
        <f t="array" ref="I31">_xlfn.IFS(H31&lt;50000,"Under $50K", H31&lt;100000,"$50K–$100K",
     H31&lt;200000,"$100K–$200K", H31&lt;500000,"$200K–$500K",
     H31&gt;=500000,"$500K+")</f>
        <v>$500K+</v>
      </c>
      <c r="J31" s="9" t="str">
        <f t="shared" si="0"/>
        <v>2020s</v>
      </c>
      <c r="K31">
        <f t="shared" si="1"/>
        <v>8.1983908748345047E-2</v>
      </c>
      <c r="L31">
        <f t="shared" si="2"/>
        <v>0.34064665127020788</v>
      </c>
      <c r="M31">
        <f t="shared" si="3"/>
        <v>0.85106382978723405</v>
      </c>
      <c r="N31">
        <f t="shared" si="4"/>
        <v>0.42456479660192903</v>
      </c>
    </row>
    <row r="32" spans="1:14">
      <c r="A32" t="s">
        <v>13</v>
      </c>
      <c r="B32" t="s">
        <v>89</v>
      </c>
      <c r="C32">
        <v>2022</v>
      </c>
      <c r="D32">
        <v>4</v>
      </c>
      <c r="E32">
        <v>591</v>
      </c>
      <c r="F32">
        <v>590</v>
      </c>
      <c r="G32">
        <v>3.5</v>
      </c>
      <c r="H32" s="4">
        <v>117000</v>
      </c>
      <c r="I32" s="8" t="str" cm="1">
        <f t="array" ref="I32">_xlfn.IFS(H32&lt;50000,"Under $50K", H32&lt;100000,"$50K–$100K",
     H32&lt;200000,"$100K–$200K", H32&lt;500000,"$200K–$500K",
     H32&gt;=500000,"$500K+")</f>
        <v>$100K–$200K</v>
      </c>
      <c r="J32" s="9" t="str">
        <f t="shared" si="0"/>
        <v>2020s</v>
      </c>
      <c r="K32">
        <f t="shared" si="1"/>
        <v>4.1755779610958346E-2</v>
      </c>
      <c r="L32">
        <f t="shared" si="2"/>
        <v>0.34064665127020788</v>
      </c>
      <c r="M32">
        <f t="shared" si="3"/>
        <v>0.63829787234042556</v>
      </c>
      <c r="N32">
        <f t="shared" si="4"/>
        <v>0.34023343440719728</v>
      </c>
    </row>
    <row r="33" spans="1:14">
      <c r="A33" t="s">
        <v>29</v>
      </c>
      <c r="B33" t="s">
        <v>81</v>
      </c>
      <c r="C33">
        <v>2021</v>
      </c>
      <c r="D33">
        <v>3</v>
      </c>
      <c r="E33">
        <v>671</v>
      </c>
      <c r="F33">
        <v>531</v>
      </c>
      <c r="G33">
        <v>3</v>
      </c>
      <c r="H33" s="4">
        <v>225000</v>
      </c>
      <c r="I33" s="8" t="str" cm="1">
        <f t="array" ref="I33">_xlfn.IFS(H33&lt;50000,"Under $50K", H33&lt;100000,"$50K–$100K",
     H33&lt;200000,"$100K–$200K", H33&lt;500000,"$200K–$500K",
     H33&gt;=500000,"$500K+")</f>
        <v>$200K–$500K</v>
      </c>
      <c r="J33" s="9" t="str">
        <f t="shared" si="0"/>
        <v>2020s</v>
      </c>
      <c r="K33">
        <f t="shared" si="1"/>
        <v>4.9903248803340461E-2</v>
      </c>
      <c r="L33">
        <f t="shared" si="2"/>
        <v>0.30658198614318705</v>
      </c>
      <c r="M33">
        <f t="shared" si="3"/>
        <v>0.74468085106382986</v>
      </c>
      <c r="N33">
        <f t="shared" si="4"/>
        <v>0.36705536200345246</v>
      </c>
    </row>
    <row r="34" spans="1:14">
      <c r="A34" t="s">
        <v>15</v>
      </c>
      <c r="B34" t="s">
        <v>90</v>
      </c>
      <c r="C34">
        <v>2022</v>
      </c>
      <c r="D34">
        <v>3</v>
      </c>
      <c r="E34">
        <v>503</v>
      </c>
      <c r="F34">
        <v>479</v>
      </c>
      <c r="G34">
        <v>3.8</v>
      </c>
      <c r="H34" s="4">
        <v>72800</v>
      </c>
      <c r="I34" s="8" t="str" cm="1">
        <f t="array" ref="I34">_xlfn.IFS(H34&lt;50000,"Under $50K", H34&lt;100000,"$50K–$100K",
     H34&lt;200000,"$100K–$200K", H34&lt;500000,"$200K–$500K",
     H34&gt;=500000,"$500K+")</f>
        <v>$50K–$100K</v>
      </c>
      <c r="J34" s="9" t="str">
        <f t="shared" si="0"/>
        <v>2020s</v>
      </c>
      <c r="K34">
        <f t="shared" si="1"/>
        <v>3.279356349933802E-2</v>
      </c>
      <c r="L34">
        <f t="shared" si="2"/>
        <v>0.27655889145496537</v>
      </c>
      <c r="M34">
        <f t="shared" si="3"/>
        <v>0.57446808510638303</v>
      </c>
      <c r="N34">
        <f t="shared" si="4"/>
        <v>0.29460684668689546</v>
      </c>
    </row>
    <row r="35" spans="1:14">
      <c r="A35" t="s">
        <v>31</v>
      </c>
      <c r="B35" t="s">
        <v>82</v>
      </c>
      <c r="C35">
        <v>2015</v>
      </c>
      <c r="D35">
        <v>6.2</v>
      </c>
      <c r="E35">
        <v>622</v>
      </c>
      <c r="F35">
        <v>468</v>
      </c>
      <c r="G35">
        <v>3.2</v>
      </c>
      <c r="H35" s="4">
        <v>222000</v>
      </c>
      <c r="I35" s="8" t="str" cm="1">
        <f t="array" ref="I35">_xlfn.IFS(H35&lt;50000,"Under $50K", H35&lt;100000,"$50K–$100K",
     H35&lt;200000,"$100K–$200K", H35&lt;500000,"$200K–$500K",
     H35&gt;=500000,"$500K+")</f>
        <v>$200K–$500K</v>
      </c>
      <c r="J35" s="9" t="str">
        <f t="shared" si="0"/>
        <v>2010s</v>
      </c>
      <c r="K35">
        <f t="shared" si="1"/>
        <v>4.4912923923006415E-2</v>
      </c>
      <c r="L35">
        <f t="shared" si="2"/>
        <v>0.2702078521939954</v>
      </c>
      <c r="M35">
        <f t="shared" si="3"/>
        <v>0.7021276595744681</v>
      </c>
      <c r="N35">
        <f t="shared" si="4"/>
        <v>0.33908281189715667</v>
      </c>
    </row>
    <row r="36" spans="1:14">
      <c r="A36" t="s">
        <v>17</v>
      </c>
      <c r="B36" t="s">
        <v>91</v>
      </c>
      <c r="C36">
        <v>2021</v>
      </c>
      <c r="D36">
        <v>6.2</v>
      </c>
      <c r="E36">
        <v>650</v>
      </c>
      <c r="F36">
        <v>650</v>
      </c>
      <c r="G36">
        <v>3.5</v>
      </c>
      <c r="H36" s="4">
        <v>64695</v>
      </c>
      <c r="I36" s="8" t="str" cm="1">
        <f t="array" ref="I36">_xlfn.IFS(H36&lt;50000,"Under $50K", H36&lt;100000,"$50K–$100K",
     H36&lt;200000,"$100K–$200K", H36&lt;500000,"$200K–$500K",
     H36&gt;=500000,"$500K+")</f>
        <v>$50K–$100K</v>
      </c>
      <c r="J36" s="9" t="str">
        <f t="shared" si="0"/>
        <v>2020s</v>
      </c>
      <c r="K36">
        <f t="shared" si="1"/>
        <v>4.7764538140340158E-2</v>
      </c>
      <c r="L36">
        <f t="shared" si="2"/>
        <v>0.37528868360277134</v>
      </c>
      <c r="M36">
        <f t="shared" si="3"/>
        <v>0.63829787234042556</v>
      </c>
      <c r="N36">
        <f t="shared" si="4"/>
        <v>0.35378369802784571</v>
      </c>
    </row>
    <row r="37" spans="1:14">
      <c r="A37" t="s">
        <v>20</v>
      </c>
      <c r="B37" t="s">
        <v>92</v>
      </c>
      <c r="C37">
        <v>2022</v>
      </c>
      <c r="D37">
        <v>3.5</v>
      </c>
      <c r="E37">
        <v>660</v>
      </c>
      <c r="F37">
        <v>550</v>
      </c>
      <c r="G37">
        <v>3</v>
      </c>
      <c r="H37" s="4">
        <v>500000</v>
      </c>
      <c r="I37" s="8" t="str" cm="1">
        <f t="array" ref="I37">_xlfn.IFS(H37&lt;50000,"Under $50K", H37&lt;100000,"$50K–$100K",
     H37&lt;200000,"$100K–$200K", H37&lt;500000,"$200K–$500K",
     H37&gt;=500000,"$500K+")</f>
        <v>$500K+</v>
      </c>
      <c r="J37" s="9" t="str">
        <f t="shared" si="0"/>
        <v>2020s</v>
      </c>
      <c r="K37">
        <f t="shared" si="1"/>
        <v>4.8782971789387924E-2</v>
      </c>
      <c r="L37">
        <f t="shared" si="2"/>
        <v>0.31755196304849886</v>
      </c>
      <c r="M37">
        <f t="shared" si="3"/>
        <v>0.74468085106382986</v>
      </c>
      <c r="N37">
        <f t="shared" si="4"/>
        <v>0.37033859530057223</v>
      </c>
    </row>
    <row r="38" spans="1:14">
      <c r="A38" t="s">
        <v>32</v>
      </c>
      <c r="B38" t="s">
        <v>93</v>
      </c>
      <c r="C38">
        <v>2021</v>
      </c>
      <c r="D38">
        <v>3.7</v>
      </c>
      <c r="E38">
        <v>350</v>
      </c>
      <c r="F38">
        <v>276</v>
      </c>
      <c r="G38">
        <v>4.5</v>
      </c>
      <c r="H38" s="4">
        <v>45690</v>
      </c>
      <c r="I38" s="8" t="str" cm="1">
        <f t="array" ref="I38">_xlfn.IFS(H38&lt;50000,"Under $50K", H38&lt;100000,"$50K–$100K",
     H38&lt;200000,"$100K–$200K", H38&lt;500000,"$200K–$500K",
     H38&gt;=500000,"$500K+")</f>
        <v>Under $50K</v>
      </c>
      <c r="J38" s="9" t="str">
        <f t="shared" si="0"/>
        <v>2020s</v>
      </c>
      <c r="K38">
        <f t="shared" si="1"/>
        <v>1.7211528668907222E-2</v>
      </c>
      <c r="L38">
        <f t="shared" si="2"/>
        <v>0.15935334872979215</v>
      </c>
      <c r="M38">
        <f t="shared" si="3"/>
        <v>0.42553191489361697</v>
      </c>
      <c r="N38">
        <f t="shared" si="4"/>
        <v>0.20069893076410547</v>
      </c>
    </row>
    <row r="39" spans="1:14">
      <c r="A39" t="s">
        <v>36</v>
      </c>
      <c r="B39" t="s">
        <v>94</v>
      </c>
      <c r="C39">
        <v>2022</v>
      </c>
      <c r="D39" t="s">
        <v>95</v>
      </c>
      <c r="E39">
        <v>562</v>
      </c>
      <c r="F39">
        <v>479</v>
      </c>
      <c r="G39">
        <v>3.8</v>
      </c>
      <c r="H39" s="4">
        <v>104000</v>
      </c>
      <c r="I39" s="8" t="str" cm="1">
        <f t="array" ref="I39">_xlfn.IFS(H39&lt;50000,"Under $50K", H39&lt;100000,"$50K–$100K",
     H39&lt;200000,"$100K–$200K", H39&lt;500000,"$200K–$500K",
     H39&gt;=500000,"$500K+")</f>
        <v>$100K–$200K</v>
      </c>
      <c r="J39" s="9" t="str">
        <f t="shared" si="0"/>
        <v>2020s</v>
      </c>
      <c r="K39">
        <f t="shared" si="1"/>
        <v>3.8802322028719832E-2</v>
      </c>
      <c r="L39">
        <f t="shared" si="2"/>
        <v>0.27655889145496537</v>
      </c>
      <c r="M39">
        <f t="shared" si="3"/>
        <v>0.57446808510638303</v>
      </c>
      <c r="N39">
        <f t="shared" si="4"/>
        <v>0.29660976619668938</v>
      </c>
    </row>
    <row r="40" spans="1:14">
      <c r="A40" t="s">
        <v>24</v>
      </c>
      <c r="B40" t="s">
        <v>96</v>
      </c>
      <c r="C40">
        <v>2021</v>
      </c>
      <c r="D40">
        <v>4</v>
      </c>
      <c r="E40">
        <v>641</v>
      </c>
      <c r="F40">
        <v>626</v>
      </c>
      <c r="G40">
        <v>3.5</v>
      </c>
      <c r="H40" s="4">
        <v>218000</v>
      </c>
      <c r="I40" s="8" t="str" cm="1">
        <f t="array" ref="I40">_xlfn.IFS(H40&lt;50000,"Under $50K", H40&lt;100000,"$50K–$100K",
     H40&lt;200000,"$100K–$200K", H40&lt;500000,"$200K–$500K",
     H40&gt;=500000,"$500K+")</f>
        <v>$200K–$500K</v>
      </c>
      <c r="J40" s="9" t="str">
        <f t="shared" si="0"/>
        <v>2020s</v>
      </c>
      <c r="K40">
        <f t="shared" si="1"/>
        <v>4.684794785619717E-2</v>
      </c>
      <c r="L40">
        <f t="shared" si="2"/>
        <v>0.36143187066974597</v>
      </c>
      <c r="M40">
        <f t="shared" si="3"/>
        <v>0.63829787234042556</v>
      </c>
      <c r="N40">
        <f t="shared" si="4"/>
        <v>0.34885923028878957</v>
      </c>
    </row>
    <row r="41" spans="1:14">
      <c r="A41" t="s">
        <v>19</v>
      </c>
      <c r="B41" t="s">
        <v>97</v>
      </c>
      <c r="C41">
        <v>2021</v>
      </c>
      <c r="D41">
        <v>3.9</v>
      </c>
      <c r="E41">
        <v>611</v>
      </c>
      <c r="F41">
        <v>561</v>
      </c>
      <c r="G41">
        <v>3.3</v>
      </c>
      <c r="H41" s="4">
        <v>222000</v>
      </c>
      <c r="I41" s="8" t="str" cm="1">
        <f t="array" ref="I41">_xlfn.IFS(H41&lt;50000,"Under $50K", H41&lt;100000,"$50K–$100K",
     H41&lt;200000,"$100K–$200K", H41&lt;500000,"$200K–$500K",
     H41&gt;=500000,"$500K+")</f>
        <v>$200K–$500K</v>
      </c>
      <c r="J41" s="9" t="str">
        <f t="shared" si="0"/>
        <v>2020s</v>
      </c>
      <c r="K41">
        <f t="shared" si="1"/>
        <v>4.3792646909053878E-2</v>
      </c>
      <c r="L41">
        <f t="shared" si="2"/>
        <v>0.32390300230946883</v>
      </c>
      <c r="M41">
        <f t="shared" si="3"/>
        <v>0.68085106382978733</v>
      </c>
      <c r="N41">
        <f t="shared" si="4"/>
        <v>0.34951557101610337</v>
      </c>
    </row>
    <row r="42" spans="1:14">
      <c r="A42" t="s">
        <v>13</v>
      </c>
      <c r="B42" t="s">
        <v>98</v>
      </c>
      <c r="C42">
        <v>2022</v>
      </c>
      <c r="D42">
        <v>2.5</v>
      </c>
      <c r="E42">
        <v>394</v>
      </c>
      <c r="F42">
        <v>369</v>
      </c>
      <c r="G42">
        <v>3.9</v>
      </c>
      <c r="H42" s="4">
        <v>57000</v>
      </c>
      <c r="I42" s="8" t="str" cm="1">
        <f t="array" ref="I42">_xlfn.IFS(H42&lt;50000,"Under $50K", H42&lt;100000,"$50K–$100K",
     H42&lt;200000,"$100K–$200K", H42&lt;500000,"$200K–$500K",
     H42&gt;=500000,"$500K+")</f>
        <v>$50K–$100K</v>
      </c>
      <c r="J42" s="9" t="str">
        <f t="shared" si="0"/>
        <v>2020s</v>
      </c>
      <c r="K42">
        <f t="shared" si="1"/>
        <v>2.1692636724717385E-2</v>
      </c>
      <c r="L42">
        <f t="shared" si="2"/>
        <v>0.21304849884526558</v>
      </c>
      <c r="M42">
        <f t="shared" si="3"/>
        <v>0.55319148936170226</v>
      </c>
      <c r="N42">
        <f t="shared" si="4"/>
        <v>0.26264420831056173</v>
      </c>
    </row>
    <row r="43" spans="1:14">
      <c r="A43" t="s">
        <v>29</v>
      </c>
      <c r="B43" t="s">
        <v>92</v>
      </c>
      <c r="C43">
        <v>2021</v>
      </c>
      <c r="D43">
        <v>4</v>
      </c>
      <c r="E43">
        <v>612</v>
      </c>
      <c r="F43">
        <v>465</v>
      </c>
      <c r="G43">
        <v>3.1</v>
      </c>
      <c r="H43" s="4">
        <v>210000</v>
      </c>
      <c r="I43" s="8" t="str" cm="1">
        <f t="array" ref="I43">_xlfn.IFS(H43&lt;50000,"Under $50K", H43&lt;100000,"$50K–$100K",
     H43&lt;200000,"$100K–$200K", H43&lt;500000,"$200K–$500K",
     H43&gt;=500000,"$500K+")</f>
        <v>$200K–$500K</v>
      </c>
      <c r="J43" s="9" t="str">
        <f t="shared" si="0"/>
        <v>2020s</v>
      </c>
      <c r="K43">
        <f t="shared" si="1"/>
        <v>4.3894490273958649E-2</v>
      </c>
      <c r="L43">
        <f t="shared" si="2"/>
        <v>0.26847575057736722</v>
      </c>
      <c r="M43">
        <f t="shared" si="3"/>
        <v>0.72340425531914887</v>
      </c>
      <c r="N43">
        <f t="shared" si="4"/>
        <v>0.34525816539015824</v>
      </c>
    </row>
    <row r="44" spans="1:14">
      <c r="A44" t="s">
        <v>15</v>
      </c>
      <c r="B44" t="s">
        <v>99</v>
      </c>
      <c r="C44">
        <v>2020</v>
      </c>
      <c r="D44" t="s">
        <v>100</v>
      </c>
      <c r="E44">
        <v>369</v>
      </c>
      <c r="F44">
        <v>420</v>
      </c>
      <c r="G44">
        <v>4.2</v>
      </c>
      <c r="H44" s="4">
        <v>148500</v>
      </c>
      <c r="I44" s="8" t="str" cm="1">
        <f t="array" ref="I44">_xlfn.IFS(H44&lt;50000,"Under $50K", H44&lt;100000,"$50K–$100K",
     H44&lt;200000,"$100K–$200K", H44&lt;500000,"$200K–$500K",
     H44&gt;=500000,"$500K+")</f>
        <v>$100K–$200K</v>
      </c>
      <c r="J44" s="9" t="str">
        <f t="shared" si="0"/>
        <v>2020s</v>
      </c>
      <c r="K44">
        <f t="shared" si="1"/>
        <v>1.9146552602097973E-2</v>
      </c>
      <c r="L44">
        <f t="shared" si="2"/>
        <v>0.24249422632794457</v>
      </c>
      <c r="M44">
        <f t="shared" si="3"/>
        <v>0.4893617021276595</v>
      </c>
      <c r="N44">
        <f t="shared" si="4"/>
        <v>0.25033416035256734</v>
      </c>
    </row>
    <row r="45" spans="1:14">
      <c r="A45" t="s">
        <v>31</v>
      </c>
      <c r="B45" t="s">
        <v>101</v>
      </c>
      <c r="C45">
        <v>2019</v>
      </c>
      <c r="D45">
        <v>4</v>
      </c>
      <c r="E45">
        <v>603</v>
      </c>
      <c r="F45">
        <v>627</v>
      </c>
      <c r="G45">
        <v>3.4</v>
      </c>
      <c r="H45" s="4">
        <v>132000</v>
      </c>
      <c r="I45" s="8" t="str" cm="1">
        <f t="array" ref="I45">_xlfn.IFS(H45&lt;50000,"Under $50K", H45&lt;100000,"$50K–$100K",
     H45&lt;200000,"$100K–$200K", H45&lt;500000,"$200K–$500K",
     H45&gt;=500000,"$500K+")</f>
        <v>$100K–$200K</v>
      </c>
      <c r="J45" s="9" t="str">
        <f t="shared" si="0"/>
        <v>2010s</v>
      </c>
      <c r="K45">
        <f t="shared" si="1"/>
        <v>4.2977899989815667E-2</v>
      </c>
      <c r="L45">
        <f t="shared" si="2"/>
        <v>0.36200923787528866</v>
      </c>
      <c r="M45">
        <f t="shared" si="3"/>
        <v>0.65957446808510645</v>
      </c>
      <c r="N45">
        <f t="shared" si="4"/>
        <v>0.35485386865007024</v>
      </c>
    </row>
    <row r="46" spans="1:14">
      <c r="A46" t="s">
        <v>36</v>
      </c>
      <c r="B46" t="s">
        <v>102</v>
      </c>
      <c r="C46">
        <v>2021</v>
      </c>
      <c r="D46">
        <v>2</v>
      </c>
      <c r="E46">
        <v>300</v>
      </c>
      <c r="F46">
        <v>280</v>
      </c>
      <c r="G46">
        <v>5.0999999999999996</v>
      </c>
      <c r="H46" s="4">
        <v>58900</v>
      </c>
      <c r="I46" s="8" t="str" cm="1">
        <f t="array" ref="I46">_xlfn.IFS(H46&lt;50000,"Under $50K", H46&lt;100000,"$50K–$100K",
     H46&lt;200000,"$100K–$200K", H46&lt;500000,"$200K–$500K",
     H46&gt;=500000,"$500K+")</f>
        <v>$50K–$100K</v>
      </c>
      <c r="J46" s="9" t="str">
        <f t="shared" si="0"/>
        <v>2020s</v>
      </c>
      <c r="K46">
        <f t="shared" si="1"/>
        <v>1.2119360423668398E-2</v>
      </c>
      <c r="L46">
        <f t="shared" si="2"/>
        <v>0.16166281755196305</v>
      </c>
      <c r="M46">
        <f t="shared" si="3"/>
        <v>0.29787234042553201</v>
      </c>
      <c r="N46">
        <f t="shared" si="4"/>
        <v>0.15721817280038783</v>
      </c>
    </row>
    <row r="47" spans="1:14">
      <c r="A47" t="s">
        <v>24</v>
      </c>
      <c r="B47" t="s">
        <v>87</v>
      </c>
      <c r="C47">
        <v>2021</v>
      </c>
      <c r="D47">
        <v>6.5</v>
      </c>
      <c r="E47">
        <v>759</v>
      </c>
      <c r="F47">
        <v>531</v>
      </c>
      <c r="G47">
        <v>2.8</v>
      </c>
      <c r="H47" s="4">
        <v>518000</v>
      </c>
      <c r="I47" s="8" t="str" cm="1">
        <f t="array" ref="I47">_xlfn.IFS(H47&lt;50000,"Under $50K", H47&lt;100000,"$50K–$100K",
     H47&lt;200000,"$100K–$200K", H47&lt;500000,"$200K–$500K",
     H47&gt;=500000,"$500K+")</f>
        <v>$500K+</v>
      </c>
      <c r="J47" s="9" t="str">
        <f t="shared" si="0"/>
        <v>2020s</v>
      </c>
      <c r="K47">
        <f t="shared" si="1"/>
        <v>5.8865464914960787E-2</v>
      </c>
      <c r="L47">
        <f t="shared" si="2"/>
        <v>0.30658198614318705</v>
      </c>
      <c r="M47">
        <f t="shared" si="3"/>
        <v>0.78723404255319152</v>
      </c>
      <c r="N47">
        <f t="shared" si="4"/>
        <v>0.38422716453711314</v>
      </c>
    </row>
    <row r="48" spans="1:14">
      <c r="A48" t="s">
        <v>19</v>
      </c>
      <c r="B48" t="s">
        <v>88</v>
      </c>
      <c r="C48">
        <v>2021</v>
      </c>
      <c r="D48">
        <v>4</v>
      </c>
      <c r="E48">
        <v>986</v>
      </c>
      <c r="F48">
        <v>590</v>
      </c>
      <c r="G48">
        <v>2.5</v>
      </c>
      <c r="H48" s="4">
        <v>625000</v>
      </c>
      <c r="I48" s="8" t="str" cm="1">
        <f t="array" ref="I48">_xlfn.IFS(H48&lt;50000,"Under $50K", H48&lt;100000,"$50K–$100K",
     H48&lt;200000,"$100K–$200K", H48&lt;500000,"$200K–$500K",
     H48&gt;=500000,"$500K+")</f>
        <v>$500K+</v>
      </c>
      <c r="J48" s="9" t="str">
        <f t="shared" si="0"/>
        <v>2020s</v>
      </c>
      <c r="K48">
        <f t="shared" si="1"/>
        <v>8.1983908748345047E-2</v>
      </c>
      <c r="L48">
        <f t="shared" si="2"/>
        <v>0.34064665127020788</v>
      </c>
      <c r="M48">
        <f t="shared" si="3"/>
        <v>0.85106382978723405</v>
      </c>
      <c r="N48">
        <f t="shared" si="4"/>
        <v>0.42456479660192903</v>
      </c>
    </row>
    <row r="49" spans="1:14">
      <c r="A49" t="s">
        <v>13</v>
      </c>
      <c r="B49" t="s">
        <v>98</v>
      </c>
      <c r="C49">
        <v>2022</v>
      </c>
      <c r="D49">
        <v>2.5</v>
      </c>
      <c r="E49">
        <v>394</v>
      </c>
      <c r="F49">
        <v>369</v>
      </c>
      <c r="G49">
        <v>3.9</v>
      </c>
      <c r="H49" s="4">
        <v>56200</v>
      </c>
      <c r="I49" s="8" t="str" cm="1">
        <f t="array" ref="I49">_xlfn.IFS(H49&lt;50000,"Under $50K", H49&lt;100000,"$50K–$100K",
     H49&lt;200000,"$100K–$200K", H49&lt;500000,"$200K–$500K",
     H49&gt;=500000,"$500K+")</f>
        <v>$50K–$100K</v>
      </c>
      <c r="J49" s="9" t="str">
        <f t="shared" si="0"/>
        <v>2020s</v>
      </c>
      <c r="K49">
        <f t="shared" si="1"/>
        <v>2.1692636724717385E-2</v>
      </c>
      <c r="L49">
        <f t="shared" si="2"/>
        <v>0.21304849884526558</v>
      </c>
      <c r="M49">
        <f t="shared" si="3"/>
        <v>0.55319148936170226</v>
      </c>
      <c r="N49">
        <f t="shared" si="4"/>
        <v>0.26264420831056173</v>
      </c>
    </row>
    <row r="50" spans="1:14">
      <c r="A50" t="s">
        <v>29</v>
      </c>
      <c r="B50" t="s">
        <v>103</v>
      </c>
      <c r="C50">
        <v>2021</v>
      </c>
      <c r="D50">
        <v>3.8</v>
      </c>
      <c r="E50">
        <v>562</v>
      </c>
      <c r="F50">
        <v>443</v>
      </c>
      <c r="G50">
        <v>2.8</v>
      </c>
      <c r="H50" s="4">
        <v>192500</v>
      </c>
      <c r="I50" s="8" t="str" cm="1">
        <f t="array" ref="I50">_xlfn.IFS(H50&lt;50000,"Under $50K", H50&lt;100000,"$50K–$100K",
     H50&lt;200000,"$100K–$200K", H50&lt;500000,"$200K–$500K",
     H50&gt;=500000,"$500K+")</f>
        <v>$100K–$200K</v>
      </c>
      <c r="J50" s="9" t="str">
        <f t="shared" si="0"/>
        <v>2020s</v>
      </c>
      <c r="K50">
        <f t="shared" si="1"/>
        <v>3.8802322028719832E-2</v>
      </c>
      <c r="L50">
        <f t="shared" si="2"/>
        <v>0.25577367205542723</v>
      </c>
      <c r="M50">
        <f t="shared" si="3"/>
        <v>0.78723404255319152</v>
      </c>
      <c r="N50">
        <f t="shared" si="4"/>
        <v>0.3606033455457795</v>
      </c>
    </row>
    <row r="51" spans="1:14">
      <c r="A51" t="s">
        <v>15</v>
      </c>
      <c r="B51" t="s">
        <v>90</v>
      </c>
      <c r="C51">
        <v>2022</v>
      </c>
      <c r="D51">
        <v>3</v>
      </c>
      <c r="E51">
        <v>503</v>
      </c>
      <c r="F51">
        <v>479</v>
      </c>
      <c r="G51">
        <v>3.8</v>
      </c>
      <c r="H51" s="4">
        <v>71800</v>
      </c>
      <c r="I51" s="8" t="str" cm="1">
        <f t="array" ref="I51">_xlfn.IFS(H51&lt;50000,"Under $50K", H51&lt;100000,"$50K–$100K",
     H51&lt;200000,"$100K–$200K", H51&lt;500000,"$200K–$500K",
     H51&gt;=500000,"$500K+")</f>
        <v>$50K–$100K</v>
      </c>
      <c r="J51" s="9" t="str">
        <f t="shared" si="0"/>
        <v>2020s</v>
      </c>
      <c r="K51">
        <f t="shared" si="1"/>
        <v>3.279356349933802E-2</v>
      </c>
      <c r="L51">
        <f t="shared" si="2"/>
        <v>0.27655889145496537</v>
      </c>
      <c r="M51">
        <f t="shared" si="3"/>
        <v>0.57446808510638303</v>
      </c>
      <c r="N51">
        <f t="shared" si="4"/>
        <v>0.29460684668689546</v>
      </c>
    </row>
    <row r="52" spans="1:14">
      <c r="A52" t="s">
        <v>31</v>
      </c>
      <c r="B52" t="s">
        <v>104</v>
      </c>
      <c r="C52">
        <v>2021</v>
      </c>
      <c r="D52">
        <v>4</v>
      </c>
      <c r="E52">
        <v>503</v>
      </c>
      <c r="F52">
        <v>516</v>
      </c>
      <c r="G52">
        <v>3.8</v>
      </c>
      <c r="H52" s="4">
        <v>68000</v>
      </c>
      <c r="I52" s="8" t="str" cm="1">
        <f t="array" ref="I52">_xlfn.IFS(H52&lt;50000,"Under $50K", H52&lt;100000,"$50K–$100K",
     H52&lt;200000,"$100K–$200K", H52&lt;500000,"$200K–$500K",
     H52&gt;=500000,"$500K+")</f>
        <v>$50K–$100K</v>
      </c>
      <c r="J52" s="9" t="str">
        <f t="shared" si="0"/>
        <v>2020s</v>
      </c>
      <c r="K52">
        <f t="shared" si="1"/>
        <v>3.279356349933802E-2</v>
      </c>
      <c r="L52">
        <f t="shared" si="2"/>
        <v>0.29792147806004621</v>
      </c>
      <c r="M52">
        <f t="shared" si="3"/>
        <v>0.57446808510638303</v>
      </c>
      <c r="N52">
        <f t="shared" si="4"/>
        <v>0.30172770888858907</v>
      </c>
    </row>
    <row r="53" spans="1:14">
      <c r="A53" t="s">
        <v>17</v>
      </c>
      <c r="B53" t="s">
        <v>105</v>
      </c>
      <c r="C53">
        <v>2021</v>
      </c>
      <c r="D53">
        <v>6.2</v>
      </c>
      <c r="E53">
        <v>455</v>
      </c>
      <c r="F53">
        <v>455</v>
      </c>
      <c r="G53">
        <v>4.0999999999999996</v>
      </c>
      <c r="H53" s="4">
        <v>42500</v>
      </c>
      <c r="I53" s="8" t="str" cm="1">
        <f t="array" ref="I53">_xlfn.IFS(H53&lt;50000,"Under $50K", H53&lt;100000,"$50K–$100K",
     H53&lt;200000,"$100K–$200K", H53&lt;500000,"$200K–$500K",
     H53&gt;=500000,"$500K+")</f>
        <v>Under $50K</v>
      </c>
      <c r="J53" s="9" t="str">
        <f t="shared" si="0"/>
        <v>2020s</v>
      </c>
      <c r="K53">
        <f t="shared" si="1"/>
        <v>2.7905081983908748E-2</v>
      </c>
      <c r="L53">
        <f t="shared" si="2"/>
        <v>0.26270207852193994</v>
      </c>
      <c r="M53">
        <f t="shared" si="3"/>
        <v>0.5106382978723405</v>
      </c>
      <c r="N53">
        <f t="shared" si="4"/>
        <v>0.26708181945939641</v>
      </c>
    </row>
    <row r="54" spans="1:14">
      <c r="A54" t="s">
        <v>20</v>
      </c>
      <c r="B54" t="s">
        <v>106</v>
      </c>
      <c r="C54">
        <v>2022</v>
      </c>
      <c r="D54">
        <v>5</v>
      </c>
      <c r="E54">
        <v>460</v>
      </c>
      <c r="F54">
        <v>420</v>
      </c>
      <c r="G54">
        <v>4.3</v>
      </c>
      <c r="H54" s="4">
        <v>39000</v>
      </c>
      <c r="I54" s="8" t="str" cm="1">
        <f t="array" ref="I54">_xlfn.IFS(H54&lt;50000,"Under $50K", H54&lt;100000,"$50K–$100K",
     H54&lt;200000,"$100K–$200K", H54&lt;500000,"$200K–$500K",
     H54&gt;=500000,"$500K+")</f>
        <v>Under $50K</v>
      </c>
      <c r="J54" s="9" t="str">
        <f t="shared" si="0"/>
        <v>2020s</v>
      </c>
      <c r="K54">
        <f t="shared" si="1"/>
        <v>2.8414298808432631E-2</v>
      </c>
      <c r="L54">
        <f t="shared" si="2"/>
        <v>0.24249422632794457</v>
      </c>
      <c r="M54">
        <f t="shared" si="3"/>
        <v>0.46808510638297873</v>
      </c>
      <c r="N54">
        <f t="shared" si="4"/>
        <v>0.24633121050645199</v>
      </c>
    </row>
    <row r="55" spans="1:14">
      <c r="A55" t="s">
        <v>32</v>
      </c>
      <c r="B55" t="s">
        <v>93</v>
      </c>
      <c r="C55">
        <v>2021</v>
      </c>
      <c r="D55">
        <v>3.7</v>
      </c>
      <c r="E55">
        <v>350</v>
      </c>
      <c r="F55">
        <v>276</v>
      </c>
      <c r="G55">
        <v>4.8</v>
      </c>
      <c r="H55" s="4">
        <v>46100</v>
      </c>
      <c r="I55" s="8" t="str" cm="1">
        <f t="array" ref="I55">_xlfn.IFS(H55&lt;50000,"Under $50K", H55&lt;100000,"$50K–$100K",
     H55&lt;200000,"$100K–$200K", H55&lt;500000,"$200K–$500K",
     H55&gt;=500000,"$500K+")</f>
        <v>Under $50K</v>
      </c>
      <c r="J55" s="9" t="str">
        <f t="shared" si="0"/>
        <v>2020s</v>
      </c>
      <c r="K55">
        <f t="shared" si="1"/>
        <v>1.7211528668907222E-2</v>
      </c>
      <c r="L55">
        <f t="shared" si="2"/>
        <v>0.15935334872979215</v>
      </c>
      <c r="M55">
        <f t="shared" si="3"/>
        <v>0.36170212765957455</v>
      </c>
      <c r="N55">
        <f t="shared" si="4"/>
        <v>0.17942233501942462</v>
      </c>
    </row>
    <row r="56" spans="1:14">
      <c r="A56" t="s">
        <v>12</v>
      </c>
      <c r="B56" t="s">
        <v>107</v>
      </c>
      <c r="C56">
        <v>2021</v>
      </c>
      <c r="D56">
        <v>4</v>
      </c>
      <c r="E56">
        <v>503</v>
      </c>
      <c r="F56">
        <v>505</v>
      </c>
      <c r="G56">
        <v>3.5</v>
      </c>
      <c r="H56" s="4">
        <v>142100</v>
      </c>
      <c r="I56" s="8" t="str" cm="1">
        <f t="array" ref="I56">_xlfn.IFS(H56&lt;50000,"Under $50K", H56&lt;100000,"$50K–$100K",
     H56&lt;200000,"$100K–$200K", H56&lt;500000,"$200K–$500K",
     H56&gt;=500000,"$500K+")</f>
        <v>$100K–$200K</v>
      </c>
      <c r="J56" s="9" t="str">
        <f t="shared" si="0"/>
        <v>2020s</v>
      </c>
      <c r="K56">
        <f t="shared" si="1"/>
        <v>3.279356349933802E-2</v>
      </c>
      <c r="L56">
        <f t="shared" si="2"/>
        <v>0.29157043879907624</v>
      </c>
      <c r="M56">
        <f t="shared" si="3"/>
        <v>0.63829787234042556</v>
      </c>
      <c r="N56">
        <f t="shared" si="4"/>
        <v>0.32088729154627993</v>
      </c>
    </row>
    <row r="57" spans="1:14">
      <c r="A57" t="s">
        <v>26</v>
      </c>
      <c r="B57" t="s">
        <v>75</v>
      </c>
      <c r="C57">
        <v>2021</v>
      </c>
      <c r="D57">
        <v>3.5</v>
      </c>
      <c r="E57">
        <v>416</v>
      </c>
      <c r="F57">
        <v>317</v>
      </c>
      <c r="G57">
        <v>3.8</v>
      </c>
      <c r="H57" s="4">
        <v>105000</v>
      </c>
      <c r="I57" s="8" t="str" cm="1">
        <f t="array" ref="I57">_xlfn.IFS(H57&lt;50000,"Under $50K", H57&lt;100000,"$50K–$100K",
     H57&lt;200000,"$100K–$200K", H57&lt;500000,"$200K–$500K",
     H57&gt;=500000,"$500K+")</f>
        <v>$100K–$200K</v>
      </c>
      <c r="J57" s="9" t="str">
        <f t="shared" si="0"/>
        <v>2020s</v>
      </c>
      <c r="K57">
        <f t="shared" si="1"/>
        <v>2.3933190752622468E-2</v>
      </c>
      <c r="L57">
        <f t="shared" si="2"/>
        <v>0.18302540415704388</v>
      </c>
      <c r="M57">
        <f t="shared" si="3"/>
        <v>0.57446808510638303</v>
      </c>
      <c r="N57">
        <f t="shared" si="4"/>
        <v>0.26047556000534983</v>
      </c>
    </row>
    <row r="58" spans="1:14">
      <c r="A58" t="s">
        <v>36</v>
      </c>
      <c r="B58" t="s">
        <v>108</v>
      </c>
      <c r="C58">
        <v>2021</v>
      </c>
      <c r="D58">
        <v>2.9</v>
      </c>
      <c r="E58">
        <v>325</v>
      </c>
      <c r="F58">
        <v>331</v>
      </c>
      <c r="G58">
        <v>5.0999999999999996</v>
      </c>
      <c r="H58" s="4">
        <v>87200</v>
      </c>
      <c r="I58" s="8" t="str" cm="1">
        <f t="array" ref="I58">_xlfn.IFS(H58&lt;50000,"Under $50K", H58&lt;100000,"$50K–$100K",
     H58&lt;200000,"$100K–$200K", H58&lt;500000,"$200K–$500K",
     H58&gt;=500000,"$500K+")</f>
        <v>$50K–$100K</v>
      </c>
      <c r="J58" s="9" t="str">
        <f t="shared" si="0"/>
        <v>2020s</v>
      </c>
      <c r="K58">
        <f t="shared" si="1"/>
        <v>1.466544454628781E-2</v>
      </c>
      <c r="L58">
        <f t="shared" si="2"/>
        <v>0.19110854503464203</v>
      </c>
      <c r="M58">
        <f t="shared" si="3"/>
        <v>0.29787234042553201</v>
      </c>
      <c r="N58">
        <f t="shared" si="4"/>
        <v>0.16788211000215394</v>
      </c>
    </row>
    <row r="59" spans="1:14">
      <c r="A59" t="s">
        <v>24</v>
      </c>
      <c r="B59" t="s">
        <v>96</v>
      </c>
      <c r="C59">
        <v>2021</v>
      </c>
      <c r="D59">
        <v>4</v>
      </c>
      <c r="E59">
        <v>641</v>
      </c>
      <c r="F59">
        <v>627</v>
      </c>
      <c r="G59">
        <v>3.2</v>
      </c>
      <c r="H59" s="4">
        <v>218000</v>
      </c>
      <c r="I59" s="8" t="str" cm="1">
        <f t="array" ref="I59">_xlfn.IFS(H59&lt;50000,"Under $50K", H59&lt;100000,"$50K–$100K",
     H59&lt;200000,"$100K–$200K", H59&lt;500000,"$200K–$500K",
     H59&gt;=500000,"$500K+")</f>
        <v>$200K–$500K</v>
      </c>
      <c r="J59" s="9" t="str">
        <f t="shared" si="0"/>
        <v>2020s</v>
      </c>
      <c r="K59">
        <f t="shared" si="1"/>
        <v>4.684794785619717E-2</v>
      </c>
      <c r="L59">
        <f t="shared" si="2"/>
        <v>0.36200923787528866</v>
      </c>
      <c r="M59">
        <f t="shared" si="3"/>
        <v>0.7021276595744681</v>
      </c>
      <c r="N59">
        <f t="shared" si="4"/>
        <v>0.37032828176865129</v>
      </c>
    </row>
    <row r="60" spans="1:14">
      <c r="A60" t="s">
        <v>19</v>
      </c>
      <c r="B60" t="s">
        <v>97</v>
      </c>
      <c r="C60">
        <v>2021</v>
      </c>
      <c r="D60">
        <v>3.9</v>
      </c>
      <c r="E60">
        <v>612</v>
      </c>
      <c r="F60">
        <v>560</v>
      </c>
      <c r="G60">
        <v>3.4</v>
      </c>
      <c r="H60" s="4">
        <v>222000</v>
      </c>
      <c r="I60" s="8" t="str" cm="1">
        <f t="array" ref="I60">_xlfn.IFS(H60&lt;50000,"Under $50K", H60&lt;100000,"$50K–$100K",
     H60&lt;200000,"$100K–$200K", H60&lt;500000,"$200K–$500K",
     H60&gt;=500000,"$500K+")</f>
        <v>$200K–$500K</v>
      </c>
      <c r="J60" s="9" t="str">
        <f t="shared" si="0"/>
        <v>2020s</v>
      </c>
      <c r="K60">
        <f t="shared" si="1"/>
        <v>4.3894490273958649E-2</v>
      </c>
      <c r="L60">
        <f t="shared" si="2"/>
        <v>0.32332563510392609</v>
      </c>
      <c r="M60">
        <f t="shared" si="3"/>
        <v>0.65957446808510645</v>
      </c>
      <c r="N60">
        <f t="shared" si="4"/>
        <v>0.34226486448766374</v>
      </c>
    </row>
    <row r="61" spans="1:14">
      <c r="A61" t="s">
        <v>13</v>
      </c>
      <c r="B61" t="s">
        <v>109</v>
      </c>
      <c r="C61">
        <v>2022</v>
      </c>
      <c r="D61">
        <v>3</v>
      </c>
      <c r="E61">
        <v>349</v>
      </c>
      <c r="F61">
        <v>369</v>
      </c>
      <c r="G61">
        <v>4.4000000000000004</v>
      </c>
      <c r="H61" s="4">
        <v>52500</v>
      </c>
      <c r="I61" s="8" t="str" cm="1">
        <f t="array" ref="I61">_xlfn.IFS(H61&lt;50000,"Under $50K", H61&lt;100000,"$50K–$100K",
     H61&lt;200000,"$100K–$200K", H61&lt;500000,"$200K–$500K",
     H61&gt;=500000,"$500K+")</f>
        <v>$50K–$100K</v>
      </c>
      <c r="J61" s="9" t="str">
        <f t="shared" si="0"/>
        <v>2020s</v>
      </c>
      <c r="K61">
        <f t="shared" si="1"/>
        <v>1.7109685304002444E-2</v>
      </c>
      <c r="L61">
        <f t="shared" si="2"/>
        <v>0.21304849884526558</v>
      </c>
      <c r="M61">
        <f t="shared" si="3"/>
        <v>0.44680851063829774</v>
      </c>
      <c r="N61">
        <f t="shared" si="4"/>
        <v>0.22565556492918859</v>
      </c>
    </row>
    <row r="62" spans="1:14">
      <c r="A62" t="s">
        <v>29</v>
      </c>
      <c r="B62" t="s">
        <v>110</v>
      </c>
      <c r="C62">
        <v>2021</v>
      </c>
      <c r="D62">
        <v>3.8</v>
      </c>
      <c r="E62">
        <v>592</v>
      </c>
      <c r="F62">
        <v>457</v>
      </c>
      <c r="G62">
        <v>2.8</v>
      </c>
      <c r="H62" s="4">
        <v>241000</v>
      </c>
      <c r="I62" s="8" t="str" cm="1">
        <f t="array" ref="I62">_xlfn.IFS(H62&lt;50000,"Under $50K", H62&lt;100000,"$50K–$100K",
     H62&lt;200000,"$100K–$200K", H62&lt;500000,"$200K–$500K",
     H62&gt;=500000,"$500K+")</f>
        <v>$200K–$500K</v>
      </c>
      <c r="J62" s="9" t="str">
        <f t="shared" si="0"/>
        <v>2020s</v>
      </c>
      <c r="K62">
        <f t="shared" si="1"/>
        <v>4.1857622975863124E-2</v>
      </c>
      <c r="L62">
        <f t="shared" si="2"/>
        <v>0.26385681293302543</v>
      </c>
      <c r="M62">
        <f t="shared" si="3"/>
        <v>0.78723404255319152</v>
      </c>
      <c r="N62">
        <f t="shared" si="4"/>
        <v>0.36431615948736001</v>
      </c>
    </row>
    <row r="63" spans="1:14">
      <c r="A63" t="s">
        <v>15</v>
      </c>
      <c r="B63" t="s">
        <v>111</v>
      </c>
      <c r="C63">
        <v>2022</v>
      </c>
      <c r="D63">
        <v>4.4000000000000004</v>
      </c>
      <c r="E63">
        <v>600</v>
      </c>
      <c r="F63">
        <v>553</v>
      </c>
      <c r="G63">
        <v>3.2</v>
      </c>
      <c r="H63" s="4">
        <v>103500</v>
      </c>
      <c r="I63" s="8" t="str" cm="1">
        <f t="array" ref="I63">_xlfn.IFS(H63&lt;50000,"Under $50K", H63&lt;100000,"$50K–$100K",
     H63&lt;200000,"$100K–$200K", H63&lt;500000,"$200K–$500K",
     H63&gt;=500000,"$500K+")</f>
        <v>$100K–$200K</v>
      </c>
      <c r="J63" s="9" t="str">
        <f t="shared" si="0"/>
        <v>2020s</v>
      </c>
      <c r="K63">
        <f t="shared" si="1"/>
        <v>4.2672369895101335E-2</v>
      </c>
      <c r="L63">
        <f t="shared" si="2"/>
        <v>0.31928406466512704</v>
      </c>
      <c r="M63">
        <f t="shared" si="3"/>
        <v>0.7021276595744681</v>
      </c>
      <c r="N63">
        <f t="shared" si="4"/>
        <v>0.35469469804489884</v>
      </c>
    </row>
    <row r="64" spans="1:14">
      <c r="A64" t="s">
        <v>12</v>
      </c>
      <c r="B64" t="s">
        <v>107</v>
      </c>
      <c r="C64">
        <v>2022</v>
      </c>
      <c r="D64">
        <v>4</v>
      </c>
      <c r="E64">
        <v>503</v>
      </c>
      <c r="F64">
        <v>505</v>
      </c>
      <c r="G64">
        <v>3.5</v>
      </c>
      <c r="H64" s="4">
        <v>146000</v>
      </c>
      <c r="I64" s="8" t="str" cm="1">
        <f t="array" ref="I64">_xlfn.IFS(H64&lt;50000,"Under $50K", H64&lt;100000,"$50K–$100K",
     H64&lt;200000,"$100K–$200K", H64&lt;500000,"$200K–$500K",
     H64&gt;=500000,"$500K+")</f>
        <v>$100K–$200K</v>
      </c>
      <c r="J64" s="9" t="str">
        <f t="shared" si="0"/>
        <v>2020s</v>
      </c>
      <c r="K64">
        <f t="shared" si="1"/>
        <v>3.279356349933802E-2</v>
      </c>
      <c r="L64">
        <f t="shared" si="2"/>
        <v>0.29157043879907624</v>
      </c>
      <c r="M64">
        <f t="shared" si="3"/>
        <v>0.63829787234042556</v>
      </c>
      <c r="N64">
        <f t="shared" si="4"/>
        <v>0.32088729154627993</v>
      </c>
    </row>
    <row r="65" spans="1:14">
      <c r="A65" t="s">
        <v>13</v>
      </c>
      <c r="B65" t="s">
        <v>112</v>
      </c>
      <c r="C65">
        <v>2021</v>
      </c>
      <c r="D65">
        <v>2.9</v>
      </c>
      <c r="E65">
        <v>444</v>
      </c>
      <c r="F65">
        <v>443</v>
      </c>
      <c r="G65">
        <v>3.6</v>
      </c>
      <c r="H65" s="4">
        <v>75400</v>
      </c>
      <c r="I65" s="8" t="str" cm="1">
        <f t="array" ref="I65">_xlfn.IFS(H65&lt;50000,"Under $50K", H65&lt;100000,"$50K–$100K",
     H65&lt;200000,"$100K–$200K", H65&lt;500000,"$200K–$500K",
     H65&gt;=500000,"$500K+")</f>
        <v>$50K–$100K</v>
      </c>
      <c r="J65" s="9" t="str">
        <f t="shared" si="0"/>
        <v>2020s</v>
      </c>
      <c r="K65">
        <f t="shared" si="1"/>
        <v>2.6784804969956208E-2</v>
      </c>
      <c r="L65">
        <f t="shared" si="2"/>
        <v>0.25577367205542723</v>
      </c>
      <c r="M65">
        <f t="shared" si="3"/>
        <v>0.61702127659574468</v>
      </c>
      <c r="N65">
        <f t="shared" si="4"/>
        <v>0.29985991787370936</v>
      </c>
    </row>
    <row r="66" spans="1:14">
      <c r="A66" t="s">
        <v>15</v>
      </c>
      <c r="B66" t="s">
        <v>113</v>
      </c>
      <c r="C66">
        <v>2022</v>
      </c>
      <c r="D66">
        <v>3</v>
      </c>
      <c r="E66">
        <v>405</v>
      </c>
      <c r="F66">
        <v>406</v>
      </c>
      <c r="G66">
        <v>4</v>
      </c>
      <c r="H66" s="4">
        <v>58900</v>
      </c>
      <c r="I66" s="8" t="str" cm="1">
        <f t="array" ref="I66">_xlfn.IFS(H66&lt;50000,"Under $50K", H66&lt;100000,"$50K–$100K",
     H66&lt;200000,"$100K–$200K", H66&lt;500000,"$200K–$500K",
     H66&gt;=500000,"$500K+")</f>
        <v>$50K–$100K</v>
      </c>
      <c r="J66" s="9" t="str">
        <f t="shared" si="0"/>
        <v>2020s</v>
      </c>
      <c r="K66">
        <f t="shared" si="1"/>
        <v>2.2812913738669924E-2</v>
      </c>
      <c r="L66">
        <f t="shared" si="2"/>
        <v>0.23441108545034642</v>
      </c>
      <c r="M66">
        <f t="shared" si="3"/>
        <v>0.53191489361702127</v>
      </c>
      <c r="N66">
        <f t="shared" si="4"/>
        <v>0.26304629760201254</v>
      </c>
    </row>
    <row r="67" spans="1:14">
      <c r="A67" t="s">
        <v>17</v>
      </c>
      <c r="B67" t="s">
        <v>105</v>
      </c>
      <c r="C67">
        <v>2021</v>
      </c>
      <c r="D67">
        <v>6.2</v>
      </c>
      <c r="E67">
        <v>455</v>
      </c>
      <c r="F67">
        <v>455</v>
      </c>
      <c r="G67">
        <v>4</v>
      </c>
      <c r="H67" s="4">
        <v>42900</v>
      </c>
      <c r="I67" s="8" t="str" cm="1">
        <f t="array" ref="I67">_xlfn.IFS(H67&lt;50000,"Under $50K", H67&lt;100000,"$50K–$100K",
     H67&lt;200000,"$100K–$200K", H67&lt;500000,"$200K–$500K",
     H67&gt;=500000,"$500K+")</f>
        <v>Under $50K</v>
      </c>
      <c r="J67" s="9" t="str">
        <f t="shared" ref="J67:J130" si="5">_xlfn.CONCAT(INT(C67/10)*10,"s")</f>
        <v>2020s</v>
      </c>
      <c r="K67">
        <f t="shared" ref="K67:K130" si="6">(E67-MIN($E$2:$E$1008))/(MAX($E$2:$E$1008)-MIN($E$2:$E$1008))</f>
        <v>2.7905081983908748E-2</v>
      </c>
      <c r="L67">
        <f t="shared" ref="L67:L130" si="7">(F67-MIN($F$2:$F$501))/(MAX($F$2:$F$501)-MIN($F$2:$F$501))</f>
        <v>0.26270207852193994</v>
      </c>
      <c r="M67">
        <f t="shared" ref="M67:M130" si="8">1-((G67-MIN($G$2:$G$501))/(MAX($G$2:$G$501)-MIN($G$2:$G$501)))</f>
        <v>0.53191489361702127</v>
      </c>
      <c r="N67">
        <f t="shared" ref="N67:N130" si="9">AVERAGE(K67,L67,M67)</f>
        <v>0.27417401804095665</v>
      </c>
    </row>
    <row r="68" spans="1:14">
      <c r="A68" t="s">
        <v>18</v>
      </c>
      <c r="B68" t="s">
        <v>114</v>
      </c>
      <c r="C68">
        <v>2022</v>
      </c>
      <c r="D68">
        <v>6.2</v>
      </c>
      <c r="E68">
        <v>797</v>
      </c>
      <c r="F68">
        <v>707</v>
      </c>
      <c r="G68">
        <v>3.4</v>
      </c>
      <c r="H68" s="4">
        <v>78595</v>
      </c>
      <c r="I68" s="8" t="str" cm="1">
        <f t="array" ref="I68">_xlfn.IFS(H68&lt;50000,"Under $50K", H68&lt;100000,"$50K–$100K",
     H68&lt;200000,"$100K–$200K", H68&lt;500000,"$200K–$500K",
     H68&gt;=500000,"$500K+")</f>
        <v>$50K–$100K</v>
      </c>
      <c r="J68" s="9" t="str">
        <f t="shared" si="5"/>
        <v>2020s</v>
      </c>
      <c r="K68">
        <f t="shared" si="6"/>
        <v>6.273551278134229E-2</v>
      </c>
      <c r="L68">
        <f t="shared" si="7"/>
        <v>0.40819861431870669</v>
      </c>
      <c r="M68">
        <f t="shared" si="8"/>
        <v>0.65957446808510645</v>
      </c>
      <c r="N68">
        <f t="shared" si="9"/>
        <v>0.37683619839505184</v>
      </c>
    </row>
    <row r="69" spans="1:14">
      <c r="A69" t="s">
        <v>20</v>
      </c>
      <c r="B69" t="s">
        <v>92</v>
      </c>
      <c r="C69">
        <v>2021</v>
      </c>
      <c r="D69">
        <v>3.5</v>
      </c>
      <c r="E69">
        <v>660</v>
      </c>
      <c r="F69">
        <v>550</v>
      </c>
      <c r="G69">
        <v>3</v>
      </c>
      <c r="H69" s="4">
        <v>500000</v>
      </c>
      <c r="I69" s="8" t="str" cm="1">
        <f t="array" ref="I69">_xlfn.IFS(H69&lt;50000,"Under $50K", H69&lt;100000,"$50K–$100K",
     H69&lt;200000,"$100K–$200K", H69&lt;500000,"$200K–$500K",
     H69&gt;=500000,"$500K+")</f>
        <v>$500K+</v>
      </c>
      <c r="J69" s="9" t="str">
        <f t="shared" si="5"/>
        <v>2020s</v>
      </c>
      <c r="K69">
        <f t="shared" si="6"/>
        <v>4.8782971789387924E-2</v>
      </c>
      <c r="L69">
        <f t="shared" si="7"/>
        <v>0.31755196304849886</v>
      </c>
      <c r="M69">
        <f t="shared" si="8"/>
        <v>0.74468085106382986</v>
      </c>
      <c r="N69">
        <f t="shared" si="9"/>
        <v>0.37033859530057223</v>
      </c>
    </row>
    <row r="70" spans="1:14">
      <c r="A70" t="s">
        <v>21</v>
      </c>
      <c r="B70" t="s">
        <v>72</v>
      </c>
      <c r="C70">
        <v>2022</v>
      </c>
      <c r="D70">
        <v>2</v>
      </c>
      <c r="E70">
        <v>296</v>
      </c>
      <c r="F70">
        <v>295</v>
      </c>
      <c r="G70">
        <v>5.4</v>
      </c>
      <c r="H70" s="4">
        <v>62750</v>
      </c>
      <c r="I70" s="8" t="str" cm="1">
        <f t="array" ref="I70">_xlfn.IFS(H70&lt;50000,"Under $50K", H70&lt;100000,"$50K–$100K",
     H70&lt;200000,"$100K–$200K", H70&lt;500000,"$200K–$500K",
     H70&gt;=500000,"$500K+")</f>
        <v>$50K–$100K</v>
      </c>
      <c r="J70" s="9" t="str">
        <f t="shared" si="5"/>
        <v>2020s</v>
      </c>
      <c r="K70">
        <f t="shared" si="6"/>
        <v>1.1711986964049292E-2</v>
      </c>
      <c r="L70">
        <f t="shared" si="7"/>
        <v>0.17032332563510394</v>
      </c>
      <c r="M70">
        <f t="shared" si="8"/>
        <v>0.23404255319148926</v>
      </c>
      <c r="N70">
        <f t="shared" si="9"/>
        <v>0.13869262193021417</v>
      </c>
    </row>
    <row r="71" spans="1:14">
      <c r="A71" t="s">
        <v>24</v>
      </c>
      <c r="B71" t="s">
        <v>115</v>
      </c>
      <c r="C71">
        <v>2021</v>
      </c>
      <c r="D71">
        <v>6.5</v>
      </c>
      <c r="E71">
        <v>770</v>
      </c>
      <c r="F71">
        <v>531</v>
      </c>
      <c r="G71">
        <v>2.9</v>
      </c>
      <c r="H71" s="4">
        <v>417826</v>
      </c>
      <c r="I71" s="8" t="str" cm="1">
        <f t="array" ref="I71">_xlfn.IFS(H71&lt;50000,"Under $50K", H71&lt;100000,"$50K–$100K",
     H71&lt;200000,"$100K–$200K", H71&lt;500000,"$200K–$500K",
     H71&gt;=500000,"$500K+")</f>
        <v>$200K–$500K</v>
      </c>
      <c r="J71" s="9" t="str">
        <f t="shared" si="5"/>
        <v>2020s</v>
      </c>
      <c r="K71">
        <f t="shared" si="6"/>
        <v>5.998574192891333E-2</v>
      </c>
      <c r="L71">
        <f t="shared" si="7"/>
        <v>0.30658198614318705</v>
      </c>
      <c r="M71">
        <f t="shared" si="8"/>
        <v>0.76595744680851063</v>
      </c>
      <c r="N71">
        <f t="shared" si="9"/>
        <v>0.37750839162687039</v>
      </c>
    </row>
    <row r="72" spans="1:14">
      <c r="A72" t="s">
        <v>27</v>
      </c>
      <c r="B72" t="s">
        <v>76</v>
      </c>
      <c r="C72">
        <v>2021</v>
      </c>
      <c r="D72">
        <v>4.7</v>
      </c>
      <c r="E72">
        <v>454</v>
      </c>
      <c r="F72">
        <v>384</v>
      </c>
      <c r="G72">
        <v>4.7</v>
      </c>
      <c r="H72" s="4">
        <v>150980</v>
      </c>
      <c r="I72" s="8" t="str" cm="1">
        <f t="array" ref="I72">_xlfn.IFS(H72&lt;50000,"Under $50K", H72&lt;100000,"$50K–$100K",
     H72&lt;200000,"$100K–$200K", H72&lt;500000,"$200K–$500K",
     H72&gt;=500000,"$500K+")</f>
        <v>$100K–$200K</v>
      </c>
      <c r="J72" s="9" t="str">
        <f t="shared" si="5"/>
        <v>2020s</v>
      </c>
      <c r="K72">
        <f t="shared" si="6"/>
        <v>2.7803238619003971E-2</v>
      </c>
      <c r="L72">
        <f t="shared" si="7"/>
        <v>0.22170900692840648</v>
      </c>
      <c r="M72">
        <f t="shared" si="8"/>
        <v>0.38297872340425532</v>
      </c>
      <c r="N72">
        <f t="shared" si="9"/>
        <v>0.2108303229838886</v>
      </c>
    </row>
    <row r="73" spans="1:14">
      <c r="A73" t="s">
        <v>29</v>
      </c>
      <c r="B73" t="s">
        <v>81</v>
      </c>
      <c r="C73">
        <v>2022</v>
      </c>
      <c r="D73">
        <v>3</v>
      </c>
      <c r="E73">
        <v>671</v>
      </c>
      <c r="F73">
        <v>531</v>
      </c>
      <c r="G73">
        <v>3</v>
      </c>
      <c r="H73" s="4">
        <v>225000</v>
      </c>
      <c r="I73" s="8" t="str" cm="1">
        <f t="array" ref="I73">_xlfn.IFS(H73&lt;50000,"Under $50K", H73&lt;100000,"$50K–$100K",
     H73&lt;200000,"$100K–$200K", H73&lt;500000,"$200K–$500K",
     H73&gt;=500000,"$500K+")</f>
        <v>$200K–$500K</v>
      </c>
      <c r="J73" s="9" t="str">
        <f t="shared" si="5"/>
        <v>2020s</v>
      </c>
      <c r="K73">
        <f t="shared" si="6"/>
        <v>4.9903248803340461E-2</v>
      </c>
      <c r="L73">
        <f t="shared" si="7"/>
        <v>0.30658198614318705</v>
      </c>
      <c r="M73">
        <f t="shared" si="8"/>
        <v>0.74468085106382986</v>
      </c>
      <c r="N73">
        <f t="shared" si="9"/>
        <v>0.36705536200345246</v>
      </c>
    </row>
    <row r="74" spans="1:14">
      <c r="A74" t="s">
        <v>31</v>
      </c>
      <c r="B74" t="s">
        <v>116</v>
      </c>
      <c r="C74">
        <v>2021</v>
      </c>
      <c r="D74">
        <v>4</v>
      </c>
      <c r="E74">
        <v>503</v>
      </c>
      <c r="F74">
        <v>516</v>
      </c>
      <c r="G74">
        <v>3.8</v>
      </c>
      <c r="H74" s="4">
        <v>70100</v>
      </c>
      <c r="I74" s="8" t="str" cm="1">
        <f t="array" ref="I74">_xlfn.IFS(H74&lt;50000,"Under $50K", H74&lt;100000,"$50K–$100K",
     H74&lt;200000,"$100K–$200K", H74&lt;500000,"$200K–$500K",
     H74&gt;=500000,"$500K+")</f>
        <v>$50K–$100K</v>
      </c>
      <c r="J74" s="9" t="str">
        <f t="shared" si="5"/>
        <v>2020s</v>
      </c>
      <c r="K74">
        <f t="shared" si="6"/>
        <v>3.279356349933802E-2</v>
      </c>
      <c r="L74">
        <f t="shared" si="7"/>
        <v>0.29792147806004621</v>
      </c>
      <c r="M74">
        <f t="shared" si="8"/>
        <v>0.57446808510638303</v>
      </c>
      <c r="N74">
        <f t="shared" si="9"/>
        <v>0.30172770888858907</v>
      </c>
    </row>
    <row r="75" spans="1:14">
      <c r="A75" t="s">
        <v>32</v>
      </c>
      <c r="B75" t="s">
        <v>117</v>
      </c>
      <c r="C75">
        <v>2021</v>
      </c>
      <c r="D75">
        <v>3.7</v>
      </c>
      <c r="E75">
        <v>332</v>
      </c>
      <c r="F75">
        <v>270</v>
      </c>
      <c r="G75">
        <v>5</v>
      </c>
      <c r="H75" s="4">
        <v>30090</v>
      </c>
      <c r="I75" s="8" t="str" cm="1">
        <f t="array" ref="I75">_xlfn.IFS(H75&lt;50000,"Under $50K", H75&lt;100000,"$50K–$100K",
     H75&lt;200000,"$100K–$200K", H75&lt;500000,"$200K–$500K",
     H75&gt;=500000,"$500K+")</f>
        <v>Under $50K</v>
      </c>
      <c r="J75" s="9" t="str">
        <f t="shared" si="5"/>
        <v>2020s</v>
      </c>
      <c r="K75">
        <f t="shared" si="6"/>
        <v>1.5378348100621244E-2</v>
      </c>
      <c r="L75">
        <f t="shared" si="7"/>
        <v>0.15588914549653579</v>
      </c>
      <c r="M75">
        <f t="shared" si="8"/>
        <v>0.31914893617021278</v>
      </c>
      <c r="N75">
        <f t="shared" si="9"/>
        <v>0.16347214325578993</v>
      </c>
    </row>
    <row r="76" spans="1:14">
      <c r="A76" t="s">
        <v>36</v>
      </c>
      <c r="B76" t="s">
        <v>108</v>
      </c>
      <c r="C76">
        <v>2022</v>
      </c>
      <c r="D76">
        <v>2.9</v>
      </c>
      <c r="E76">
        <v>325</v>
      </c>
      <c r="F76">
        <v>331</v>
      </c>
      <c r="G76">
        <v>5.3</v>
      </c>
      <c r="H76" s="4">
        <v>88700</v>
      </c>
      <c r="I76" s="8" t="str" cm="1">
        <f t="array" ref="I76">_xlfn.IFS(H76&lt;50000,"Under $50K", H76&lt;100000,"$50K–$100K",
     H76&lt;200000,"$100K–$200K", H76&lt;500000,"$200K–$500K",
     H76&gt;=500000,"$500K+")</f>
        <v>$50K–$100K</v>
      </c>
      <c r="J76" s="9" t="str">
        <f t="shared" si="5"/>
        <v>2020s</v>
      </c>
      <c r="K76">
        <f t="shared" si="6"/>
        <v>1.466544454628781E-2</v>
      </c>
      <c r="L76">
        <f t="shared" si="7"/>
        <v>0.19110854503464203</v>
      </c>
      <c r="M76">
        <f t="shared" si="8"/>
        <v>0.25531914893617025</v>
      </c>
      <c r="N76">
        <f t="shared" si="9"/>
        <v>0.15369771283903336</v>
      </c>
    </row>
    <row r="77" spans="1:14">
      <c r="A77" t="s">
        <v>13</v>
      </c>
      <c r="B77" t="s">
        <v>118</v>
      </c>
      <c r="C77">
        <v>2021</v>
      </c>
      <c r="D77">
        <v>2.5</v>
      </c>
      <c r="E77">
        <v>394</v>
      </c>
      <c r="F77">
        <v>354</v>
      </c>
      <c r="G77">
        <v>3.6</v>
      </c>
      <c r="H77" s="4">
        <v>67600</v>
      </c>
      <c r="I77" s="8" t="str" cm="1">
        <f t="array" ref="I77">_xlfn.IFS(H77&lt;50000,"Under $50K", H77&lt;100000,"$50K–$100K",
     H77&lt;200000,"$100K–$200K", H77&lt;500000,"$200K–$500K",
     H77&gt;=500000,"$500K+")</f>
        <v>$50K–$100K</v>
      </c>
      <c r="J77" s="9" t="str">
        <f t="shared" si="5"/>
        <v>2020s</v>
      </c>
      <c r="K77">
        <f t="shared" si="6"/>
        <v>2.1692636724717385E-2</v>
      </c>
      <c r="L77">
        <f t="shared" si="7"/>
        <v>0.20438799076212472</v>
      </c>
      <c r="M77">
        <f t="shared" si="8"/>
        <v>0.61702127659574468</v>
      </c>
      <c r="N77">
        <f t="shared" si="9"/>
        <v>0.28103396802752895</v>
      </c>
    </row>
    <row r="78" spans="1:14">
      <c r="A78" t="s">
        <v>15</v>
      </c>
      <c r="B78" t="s">
        <v>90</v>
      </c>
      <c r="C78">
        <v>2022</v>
      </c>
      <c r="D78">
        <v>3</v>
      </c>
      <c r="E78">
        <v>473</v>
      </c>
      <c r="F78">
        <v>406</v>
      </c>
      <c r="G78">
        <v>4.0999999999999996</v>
      </c>
      <c r="H78" s="4">
        <v>72800</v>
      </c>
      <c r="I78" s="8" t="str" cm="1">
        <f t="array" ref="I78">_xlfn.IFS(H78&lt;50000,"Under $50K", H78&lt;100000,"$50K–$100K",
     H78&lt;200000,"$100K–$200K", H78&lt;500000,"$200K–$500K",
     H78&gt;=500000,"$500K+")</f>
        <v>$50K–$100K</v>
      </c>
      <c r="J78" s="9" t="str">
        <f t="shared" si="5"/>
        <v>2020s</v>
      </c>
      <c r="K78">
        <f t="shared" si="6"/>
        <v>2.9738262552194725E-2</v>
      </c>
      <c r="L78">
        <f t="shared" si="7"/>
        <v>0.23441108545034642</v>
      </c>
      <c r="M78">
        <f t="shared" si="8"/>
        <v>0.5106382978723405</v>
      </c>
      <c r="N78">
        <f t="shared" si="9"/>
        <v>0.25826254862496056</v>
      </c>
    </row>
    <row r="79" spans="1:14">
      <c r="A79" t="s">
        <v>17</v>
      </c>
      <c r="B79" t="s">
        <v>119</v>
      </c>
      <c r="C79">
        <v>2021</v>
      </c>
      <c r="D79">
        <v>6.2</v>
      </c>
      <c r="E79">
        <v>490</v>
      </c>
      <c r="F79">
        <v>465</v>
      </c>
      <c r="G79">
        <v>2.8</v>
      </c>
      <c r="H79" s="4">
        <v>59900</v>
      </c>
      <c r="I79" s="8" t="str" cm="1">
        <f t="array" ref="I79">_xlfn.IFS(H79&lt;50000,"Under $50K", H79&lt;100000,"$50K–$100K",
     H79&lt;200000,"$100K–$200K", H79&lt;500000,"$200K–$500K",
     H79&gt;=500000,"$500K+")</f>
        <v>$50K–$100K</v>
      </c>
      <c r="J79" s="9" t="str">
        <f t="shared" si="5"/>
        <v>2020s</v>
      </c>
      <c r="K79">
        <f t="shared" si="6"/>
        <v>3.1469599755575922E-2</v>
      </c>
      <c r="L79">
        <f t="shared" si="7"/>
        <v>0.26847575057736722</v>
      </c>
      <c r="M79">
        <f t="shared" si="8"/>
        <v>0.78723404255319152</v>
      </c>
      <c r="N79">
        <f t="shared" si="9"/>
        <v>0.3623931309620449</v>
      </c>
    </row>
    <row r="80" spans="1:14">
      <c r="A80" t="s">
        <v>19</v>
      </c>
      <c r="B80" t="s">
        <v>120</v>
      </c>
      <c r="C80">
        <v>2021</v>
      </c>
      <c r="D80">
        <v>3.9</v>
      </c>
      <c r="E80">
        <v>710</v>
      </c>
      <c r="F80">
        <v>568</v>
      </c>
      <c r="G80">
        <v>2.8</v>
      </c>
      <c r="H80" s="4">
        <v>274280</v>
      </c>
      <c r="I80" s="8" t="str" cm="1">
        <f t="array" ref="I80">_xlfn.IFS(H80&lt;50000,"Under $50K", H80&lt;100000,"$50K–$100K",
     H80&lt;200000,"$100K–$200K", H80&lt;500000,"$200K–$500K",
     H80&gt;=500000,"$500K+")</f>
        <v>$200K–$500K</v>
      </c>
      <c r="J80" s="9" t="str">
        <f t="shared" si="5"/>
        <v>2020s</v>
      </c>
      <c r="K80">
        <f t="shared" si="6"/>
        <v>5.3875140034626741E-2</v>
      </c>
      <c r="L80">
        <f t="shared" si="7"/>
        <v>0.32794457274826788</v>
      </c>
      <c r="M80">
        <f t="shared" si="8"/>
        <v>0.78723404255319152</v>
      </c>
      <c r="N80">
        <f t="shared" si="9"/>
        <v>0.38968458511202869</v>
      </c>
    </row>
    <row r="81" spans="1:14">
      <c r="A81" t="s">
        <v>20</v>
      </c>
      <c r="B81" t="s">
        <v>121</v>
      </c>
      <c r="C81">
        <v>2021</v>
      </c>
      <c r="D81">
        <v>5</v>
      </c>
      <c r="E81">
        <v>480</v>
      </c>
      <c r="F81">
        <v>420</v>
      </c>
      <c r="G81">
        <v>4.3</v>
      </c>
      <c r="H81" s="4">
        <v>52915</v>
      </c>
      <c r="I81" s="8" t="str" cm="1">
        <f t="array" ref="I81">_xlfn.IFS(H81&lt;50000,"Under $50K", H81&lt;100000,"$50K–$100K",
     H81&lt;200000,"$100K–$200K", H81&lt;500000,"$200K–$500K",
     H81&gt;=500000,"$500K+")</f>
        <v>$50K–$100K</v>
      </c>
      <c r="J81" s="9" t="str">
        <f t="shared" si="5"/>
        <v>2020s</v>
      </c>
      <c r="K81">
        <f t="shared" si="6"/>
        <v>3.045116610652816E-2</v>
      </c>
      <c r="L81">
        <f t="shared" si="7"/>
        <v>0.24249422632794457</v>
      </c>
      <c r="M81">
        <f t="shared" si="8"/>
        <v>0.46808510638297873</v>
      </c>
      <c r="N81">
        <f t="shared" si="9"/>
        <v>0.24701016627248382</v>
      </c>
    </row>
    <row r="82" spans="1:14">
      <c r="A82" t="s">
        <v>24</v>
      </c>
      <c r="B82" t="s">
        <v>96</v>
      </c>
      <c r="C82">
        <v>2021</v>
      </c>
      <c r="D82">
        <v>4</v>
      </c>
      <c r="E82">
        <v>641</v>
      </c>
      <c r="F82">
        <v>627</v>
      </c>
      <c r="G82">
        <v>3.6</v>
      </c>
      <c r="H82" s="4">
        <v>218009</v>
      </c>
      <c r="I82" s="8" t="str" cm="1">
        <f t="array" ref="I82">_xlfn.IFS(H82&lt;50000,"Under $50K", H82&lt;100000,"$50K–$100K",
     H82&lt;200000,"$100K–$200K", H82&lt;500000,"$200K–$500K",
     H82&gt;=500000,"$500K+")</f>
        <v>$200K–$500K</v>
      </c>
      <c r="J82" s="9" t="str">
        <f t="shared" si="5"/>
        <v>2020s</v>
      </c>
      <c r="K82">
        <f t="shared" si="6"/>
        <v>4.684794785619717E-2</v>
      </c>
      <c r="L82">
        <f t="shared" si="7"/>
        <v>0.36200923787528866</v>
      </c>
      <c r="M82">
        <f t="shared" si="8"/>
        <v>0.61702127659574468</v>
      </c>
      <c r="N82">
        <f t="shared" si="9"/>
        <v>0.34195948744241017</v>
      </c>
    </row>
    <row r="83" spans="1:14">
      <c r="A83" t="s">
        <v>36</v>
      </c>
      <c r="B83" t="s">
        <v>122</v>
      </c>
      <c r="C83">
        <v>2022</v>
      </c>
      <c r="D83">
        <v>2</v>
      </c>
      <c r="E83">
        <v>300</v>
      </c>
      <c r="F83">
        <v>280</v>
      </c>
      <c r="G83">
        <v>4.5</v>
      </c>
      <c r="H83" s="4">
        <v>61000</v>
      </c>
      <c r="I83" s="8" t="str" cm="1">
        <f t="array" ref="I83">_xlfn.IFS(H83&lt;50000,"Under $50K", H83&lt;100000,"$50K–$100K",
     H83&lt;200000,"$100K–$200K", H83&lt;500000,"$200K–$500K",
     H83&gt;=500000,"$500K+")</f>
        <v>$50K–$100K</v>
      </c>
      <c r="J83" s="9" t="str">
        <f t="shared" si="5"/>
        <v>2020s</v>
      </c>
      <c r="K83">
        <f t="shared" si="6"/>
        <v>1.2119360423668398E-2</v>
      </c>
      <c r="L83">
        <f t="shared" si="7"/>
        <v>0.16166281755196305</v>
      </c>
      <c r="M83">
        <f t="shared" si="8"/>
        <v>0.42553191489361697</v>
      </c>
      <c r="N83">
        <f t="shared" si="9"/>
        <v>0.19977136428974948</v>
      </c>
    </row>
    <row r="84" spans="1:14">
      <c r="A84" t="s">
        <v>8</v>
      </c>
      <c r="B84" t="s">
        <v>123</v>
      </c>
      <c r="C84">
        <v>2022</v>
      </c>
      <c r="D84">
        <v>3.5</v>
      </c>
      <c r="E84">
        <v>573</v>
      </c>
      <c r="F84">
        <v>476</v>
      </c>
      <c r="G84">
        <v>2.9</v>
      </c>
      <c r="H84" s="4">
        <v>159495</v>
      </c>
      <c r="I84" s="8" t="str" cm="1">
        <f t="array" ref="I84">_xlfn.IFS(H84&lt;50000,"Under $50K", H84&lt;100000,"$50K–$100K",
     H84&lt;200000,"$100K–$200K", H84&lt;500000,"$200K–$500K",
     H84&gt;=500000,"$500K+")</f>
        <v>$100K–$200K</v>
      </c>
      <c r="J84" s="9" t="str">
        <f t="shared" si="5"/>
        <v>2020s</v>
      </c>
      <c r="K84">
        <f t="shared" si="6"/>
        <v>3.9922599042672369E-2</v>
      </c>
      <c r="L84">
        <f t="shared" si="7"/>
        <v>0.27482678983833719</v>
      </c>
      <c r="M84">
        <f t="shared" si="8"/>
        <v>0.76595744680851063</v>
      </c>
      <c r="N84">
        <f t="shared" si="9"/>
        <v>0.36023561189650671</v>
      </c>
    </row>
    <row r="85" spans="1:14">
      <c r="A85" t="s">
        <v>12</v>
      </c>
      <c r="B85" t="s">
        <v>107</v>
      </c>
      <c r="C85">
        <v>2022</v>
      </c>
      <c r="D85">
        <v>4</v>
      </c>
      <c r="E85">
        <v>503</v>
      </c>
      <c r="F85">
        <v>505</v>
      </c>
      <c r="G85">
        <v>3.5</v>
      </c>
      <c r="H85" s="4">
        <v>142086</v>
      </c>
      <c r="I85" s="8" t="str" cm="1">
        <f t="array" ref="I85">_xlfn.IFS(H85&lt;50000,"Under $50K", H85&lt;100000,"$50K–$100K",
     H85&lt;200000,"$100K–$200K", H85&lt;500000,"$200K–$500K",
     H85&gt;=500000,"$500K+")</f>
        <v>$100K–$200K</v>
      </c>
      <c r="J85" s="9" t="str">
        <f t="shared" si="5"/>
        <v>2020s</v>
      </c>
      <c r="K85">
        <f t="shared" si="6"/>
        <v>3.279356349933802E-2</v>
      </c>
      <c r="L85">
        <f t="shared" si="7"/>
        <v>0.29157043879907624</v>
      </c>
      <c r="M85">
        <f t="shared" si="8"/>
        <v>0.63829787234042556</v>
      </c>
      <c r="N85">
        <f t="shared" si="9"/>
        <v>0.32088729154627993</v>
      </c>
    </row>
    <row r="86" spans="1:14">
      <c r="A86" t="s">
        <v>14</v>
      </c>
      <c r="B86" t="s">
        <v>80</v>
      </c>
      <c r="C86">
        <v>2021</v>
      </c>
      <c r="D86">
        <v>6</v>
      </c>
      <c r="E86">
        <v>626</v>
      </c>
      <c r="F86">
        <v>664</v>
      </c>
      <c r="G86">
        <v>3.3</v>
      </c>
      <c r="H86" s="4">
        <v>219800</v>
      </c>
      <c r="I86" s="8" t="str" cm="1">
        <f t="array" ref="I86">_xlfn.IFS(H86&lt;50000,"Under $50K", H86&lt;100000,"$50K–$100K",
     H86&lt;200000,"$100K–$200K", H86&lt;500000,"$200K–$500K",
     H86&gt;=500000,"$500K+")</f>
        <v>$200K–$500K</v>
      </c>
      <c r="J86" s="9" t="str">
        <f t="shared" si="5"/>
        <v>2020s</v>
      </c>
      <c r="K86">
        <f t="shared" si="6"/>
        <v>4.5320297382625524E-2</v>
      </c>
      <c r="L86">
        <f t="shared" si="7"/>
        <v>0.38337182448036949</v>
      </c>
      <c r="M86">
        <f t="shared" si="8"/>
        <v>0.68085106382978733</v>
      </c>
      <c r="N86">
        <f t="shared" si="9"/>
        <v>0.36984772856426079</v>
      </c>
    </row>
    <row r="87" spans="1:14">
      <c r="A87" t="s">
        <v>16</v>
      </c>
      <c r="B87" t="s">
        <v>70</v>
      </c>
      <c r="C87">
        <v>2022</v>
      </c>
      <c r="D87">
        <v>8</v>
      </c>
      <c r="E87">
        <v>1500</v>
      </c>
      <c r="F87">
        <v>1180</v>
      </c>
      <c r="G87">
        <v>2.4</v>
      </c>
      <c r="H87" s="4">
        <v>3000000</v>
      </c>
      <c r="I87" s="8" t="str" cm="1">
        <f t="array" ref="I87">_xlfn.IFS(H87&lt;50000,"Under $50K", H87&lt;100000,"$50K–$100K",
     H87&lt;200000,"$100K–$200K", H87&lt;500000,"$200K–$500K",
     H87&gt;=500000,"$500K+")</f>
        <v>$500K+</v>
      </c>
      <c r="J87" s="9" t="str">
        <f t="shared" si="5"/>
        <v>2020s</v>
      </c>
      <c r="K87">
        <f t="shared" si="6"/>
        <v>0.13433139830940014</v>
      </c>
      <c r="L87">
        <f t="shared" si="7"/>
        <v>0.68129330254041576</v>
      </c>
      <c r="M87">
        <f t="shared" si="8"/>
        <v>0.87234042553191493</v>
      </c>
      <c r="N87">
        <f t="shared" si="9"/>
        <v>0.5626550421272436</v>
      </c>
    </row>
    <row r="88" spans="1:14">
      <c r="A88" t="s">
        <v>18</v>
      </c>
      <c r="B88" t="s">
        <v>114</v>
      </c>
      <c r="C88">
        <v>2022</v>
      </c>
      <c r="D88">
        <v>6.2</v>
      </c>
      <c r="E88">
        <v>797</v>
      </c>
      <c r="F88">
        <v>707</v>
      </c>
      <c r="G88">
        <v>3.4</v>
      </c>
      <c r="H88" s="4">
        <v>74290</v>
      </c>
      <c r="I88" s="8" t="str" cm="1">
        <f t="array" ref="I88">_xlfn.IFS(H88&lt;50000,"Under $50K", H88&lt;100000,"$50K–$100K",
     H88&lt;200000,"$100K–$200K", H88&lt;500000,"$200K–$500K",
     H88&gt;=500000,"$500K+")</f>
        <v>$50K–$100K</v>
      </c>
      <c r="J88" s="9" t="str">
        <f t="shared" si="5"/>
        <v>2020s</v>
      </c>
      <c r="K88">
        <f t="shared" si="6"/>
        <v>6.273551278134229E-2</v>
      </c>
      <c r="L88">
        <f t="shared" si="7"/>
        <v>0.40819861431870669</v>
      </c>
      <c r="M88">
        <f t="shared" si="8"/>
        <v>0.65957446808510645</v>
      </c>
      <c r="N88">
        <f t="shared" si="9"/>
        <v>0.37683619839505184</v>
      </c>
    </row>
    <row r="89" spans="1:14">
      <c r="A89" t="s">
        <v>21</v>
      </c>
      <c r="B89" t="s">
        <v>72</v>
      </c>
      <c r="C89">
        <v>2022</v>
      </c>
      <c r="D89">
        <v>3</v>
      </c>
      <c r="E89">
        <v>380</v>
      </c>
      <c r="F89">
        <v>339</v>
      </c>
      <c r="G89">
        <v>4.9000000000000004</v>
      </c>
      <c r="H89" s="4">
        <v>71900</v>
      </c>
      <c r="I89" s="8" t="str" cm="1">
        <f t="array" ref="I89">_xlfn.IFS(H89&lt;50000,"Under $50K", H89&lt;100000,"$50K–$100K",
     H89&lt;200000,"$100K–$200K", H89&lt;500000,"$200K–$500K",
     H89&gt;=500000,"$500K+")</f>
        <v>$50K–$100K</v>
      </c>
      <c r="J89" s="9" t="str">
        <f t="shared" si="5"/>
        <v>2020s</v>
      </c>
      <c r="K89">
        <f t="shared" si="6"/>
        <v>2.0266829616050513E-2</v>
      </c>
      <c r="L89">
        <f t="shared" si="7"/>
        <v>0.19572748267898382</v>
      </c>
      <c r="M89">
        <f t="shared" si="8"/>
        <v>0.34042553191489355</v>
      </c>
      <c r="N89">
        <f t="shared" si="9"/>
        <v>0.18547328140330929</v>
      </c>
    </row>
    <row r="90" spans="1:14">
      <c r="A90" t="s">
        <v>23</v>
      </c>
      <c r="B90" t="s">
        <v>73</v>
      </c>
      <c r="C90">
        <v>2022</v>
      </c>
      <c r="D90">
        <v>5</v>
      </c>
      <c r="E90">
        <v>1600</v>
      </c>
      <c r="F90">
        <v>1106</v>
      </c>
      <c r="G90">
        <v>2.5</v>
      </c>
      <c r="H90" s="4">
        <v>3000000</v>
      </c>
      <c r="I90" s="8" t="str" cm="1">
        <f t="array" ref="I90">_xlfn.IFS(H90&lt;50000,"Under $50K", H90&lt;100000,"$50K–$100K",
     H90&lt;200000,"$100K–$200K", H90&lt;500000,"$200K–$500K",
     H90&gt;=500000,"$500K+")</f>
        <v>$500K+</v>
      </c>
      <c r="J90" s="9" t="str">
        <f t="shared" si="5"/>
        <v>2020s</v>
      </c>
      <c r="K90">
        <f t="shared" si="6"/>
        <v>0.14451573479987778</v>
      </c>
      <c r="L90">
        <f t="shared" si="7"/>
        <v>0.63856812933025409</v>
      </c>
      <c r="M90">
        <f t="shared" si="8"/>
        <v>0.85106382978723405</v>
      </c>
      <c r="N90">
        <f t="shared" si="9"/>
        <v>0.54471589797245523</v>
      </c>
    </row>
    <row r="91" spans="1:14">
      <c r="A91" t="s">
        <v>25</v>
      </c>
      <c r="B91" t="s">
        <v>74</v>
      </c>
      <c r="C91">
        <v>2022</v>
      </c>
      <c r="D91">
        <v>5</v>
      </c>
      <c r="E91">
        <v>471</v>
      </c>
      <c r="F91">
        <v>398</v>
      </c>
      <c r="G91">
        <v>4.4000000000000004</v>
      </c>
      <c r="H91" s="4">
        <v>92950</v>
      </c>
      <c r="I91" s="8" t="str" cm="1">
        <f t="array" ref="I91">_xlfn.IFS(H91&lt;50000,"Under $50K", H91&lt;100000,"$50K–$100K",
     H91&lt;200000,"$100K–$200K", H91&lt;500000,"$200K–$500K",
     H91&gt;=500000,"$500K+")</f>
        <v>$50K–$100K</v>
      </c>
      <c r="J91" s="9" t="str">
        <f t="shared" si="5"/>
        <v>2020s</v>
      </c>
      <c r="K91">
        <f t="shared" si="6"/>
        <v>2.9534575822385171E-2</v>
      </c>
      <c r="L91">
        <f t="shared" si="7"/>
        <v>0.22979214780600463</v>
      </c>
      <c r="M91">
        <f t="shared" si="8"/>
        <v>0.44680851063829774</v>
      </c>
      <c r="N91">
        <f t="shared" si="9"/>
        <v>0.23537841142222918</v>
      </c>
    </row>
    <row r="92" spans="1:14">
      <c r="A92" t="s">
        <v>26</v>
      </c>
      <c r="B92" t="s">
        <v>75</v>
      </c>
      <c r="C92">
        <v>2021</v>
      </c>
      <c r="D92">
        <v>3.5</v>
      </c>
      <c r="E92">
        <v>416</v>
      </c>
      <c r="F92">
        <v>317</v>
      </c>
      <c r="G92">
        <v>3.8</v>
      </c>
      <c r="H92" s="4">
        <v>105000</v>
      </c>
      <c r="I92" s="8" t="str" cm="1">
        <f t="array" ref="I92">_xlfn.IFS(H92&lt;50000,"Under $50K", H92&lt;100000,"$50K–$100K",
     H92&lt;200000,"$100K–$200K", H92&lt;500000,"$200K–$500K",
     H92&gt;=500000,"$500K+")</f>
        <v>$100K–$200K</v>
      </c>
      <c r="J92" s="9" t="str">
        <f t="shared" si="5"/>
        <v>2020s</v>
      </c>
      <c r="K92">
        <f t="shared" si="6"/>
        <v>2.3933190752622468E-2</v>
      </c>
      <c r="L92">
        <f t="shared" si="7"/>
        <v>0.18302540415704388</v>
      </c>
      <c r="M92">
        <f t="shared" si="8"/>
        <v>0.57446808510638303</v>
      </c>
      <c r="N92">
        <f t="shared" si="9"/>
        <v>0.26047556000534983</v>
      </c>
    </row>
    <row r="93" spans="1:14">
      <c r="A93" t="s">
        <v>27</v>
      </c>
      <c r="B93" t="s">
        <v>76</v>
      </c>
      <c r="C93">
        <v>2022</v>
      </c>
      <c r="D93">
        <v>4.7</v>
      </c>
      <c r="E93">
        <v>454</v>
      </c>
      <c r="F93">
        <v>384</v>
      </c>
      <c r="G93">
        <v>4.7</v>
      </c>
      <c r="H93" s="4">
        <v>134300</v>
      </c>
      <c r="I93" s="8" t="str" cm="1">
        <f t="array" ref="I93">_xlfn.IFS(H93&lt;50000,"Under $50K", H93&lt;100000,"$50K–$100K",
     H93&lt;200000,"$100K–$200K", H93&lt;500000,"$200K–$500K",
     H93&gt;=500000,"$500K+")</f>
        <v>$100K–$200K</v>
      </c>
      <c r="J93" s="9" t="str">
        <f t="shared" si="5"/>
        <v>2020s</v>
      </c>
      <c r="K93">
        <f t="shared" si="6"/>
        <v>2.7803238619003971E-2</v>
      </c>
      <c r="L93">
        <f t="shared" si="7"/>
        <v>0.22170900692840648</v>
      </c>
      <c r="M93">
        <f t="shared" si="8"/>
        <v>0.38297872340425532</v>
      </c>
      <c r="N93">
        <f t="shared" si="9"/>
        <v>0.2108303229838886</v>
      </c>
    </row>
    <row r="94" spans="1:14">
      <c r="A94" t="s">
        <v>28</v>
      </c>
      <c r="B94" t="s">
        <v>124</v>
      </c>
      <c r="C94">
        <v>2021</v>
      </c>
      <c r="D94">
        <v>2</v>
      </c>
      <c r="E94">
        <v>181</v>
      </c>
      <c r="F94">
        <v>151</v>
      </c>
      <c r="G94">
        <v>6.5</v>
      </c>
      <c r="H94" s="4">
        <v>26830</v>
      </c>
      <c r="I94" s="8" t="str" cm="1">
        <f t="array" ref="I94">_xlfn.IFS(H94&lt;50000,"Under $50K", H94&lt;100000,"$50K–$100K",
     H94&lt;200000,"$100K–$200K", H94&lt;500000,"$200K–$500K",
     H94&gt;=500000,"$500K+")</f>
        <v>Under $50K</v>
      </c>
      <c r="J94" s="9" t="str">
        <f t="shared" si="5"/>
        <v>2020s</v>
      </c>
      <c r="K94">
        <f t="shared" si="6"/>
        <v>0</v>
      </c>
      <c r="L94">
        <f t="shared" si="7"/>
        <v>8.7182448036951507E-2</v>
      </c>
      <c r="M94">
        <f t="shared" si="8"/>
        <v>0</v>
      </c>
      <c r="N94">
        <f t="shared" si="9"/>
        <v>2.9060816012317168E-2</v>
      </c>
    </row>
    <row r="95" spans="1:14">
      <c r="A95" t="s">
        <v>29</v>
      </c>
      <c r="B95" t="s">
        <v>92</v>
      </c>
      <c r="C95">
        <v>2022</v>
      </c>
      <c r="D95">
        <v>4</v>
      </c>
      <c r="E95">
        <v>620</v>
      </c>
      <c r="F95">
        <v>465</v>
      </c>
      <c r="G95">
        <v>3.1</v>
      </c>
      <c r="H95" s="4">
        <v>213195</v>
      </c>
      <c r="I95" s="8" t="str" cm="1">
        <f t="array" ref="I95">_xlfn.IFS(H95&lt;50000,"Under $50K", H95&lt;100000,"$50K–$100K",
     H95&lt;200000,"$100K–$200K", H95&lt;500000,"$200K–$500K",
     H95&gt;=500000,"$500K+")</f>
        <v>$200K–$500K</v>
      </c>
      <c r="J95" s="9" t="str">
        <f t="shared" si="5"/>
        <v>2020s</v>
      </c>
      <c r="K95">
        <f t="shared" si="6"/>
        <v>4.470923719319686E-2</v>
      </c>
      <c r="L95">
        <f t="shared" si="7"/>
        <v>0.26847575057736722</v>
      </c>
      <c r="M95">
        <f t="shared" si="8"/>
        <v>0.72340425531914887</v>
      </c>
      <c r="N95">
        <f t="shared" si="9"/>
        <v>0.34552974769657102</v>
      </c>
    </row>
    <row r="96" spans="1:14">
      <c r="A96" t="s">
        <v>31</v>
      </c>
      <c r="B96" t="s">
        <v>82</v>
      </c>
      <c r="C96">
        <v>2015</v>
      </c>
      <c r="D96">
        <v>6.2</v>
      </c>
      <c r="E96">
        <v>622</v>
      </c>
      <c r="F96">
        <v>468</v>
      </c>
      <c r="G96">
        <v>3.7</v>
      </c>
      <c r="H96" s="4">
        <v>221580</v>
      </c>
      <c r="I96" s="8" t="str" cm="1">
        <f t="array" ref="I96">_xlfn.IFS(H96&lt;50000,"Under $50K", H96&lt;100000,"$50K–$100K",
     H96&lt;200000,"$100K–$200K", H96&lt;500000,"$200K–$500K",
     H96&gt;=500000,"$500K+")</f>
        <v>$200K–$500K</v>
      </c>
      <c r="J96" s="9" t="str">
        <f t="shared" si="5"/>
        <v>2010s</v>
      </c>
      <c r="K96">
        <f t="shared" si="6"/>
        <v>4.4912923923006415E-2</v>
      </c>
      <c r="L96">
        <f t="shared" si="7"/>
        <v>0.2702078521939954</v>
      </c>
      <c r="M96">
        <f t="shared" si="8"/>
        <v>0.5957446808510638</v>
      </c>
      <c r="N96">
        <f t="shared" si="9"/>
        <v>0.3036218189893552</v>
      </c>
    </row>
    <row r="97" spans="1:14">
      <c r="A97" t="s">
        <v>33</v>
      </c>
      <c r="B97" t="s">
        <v>83</v>
      </c>
      <c r="C97">
        <v>2022</v>
      </c>
      <c r="D97">
        <v>6</v>
      </c>
      <c r="E97">
        <v>764</v>
      </c>
      <c r="F97">
        <v>738</v>
      </c>
      <c r="G97">
        <v>2.8</v>
      </c>
      <c r="H97" s="4">
        <v>2800000</v>
      </c>
      <c r="I97" s="8" t="str" cm="1">
        <f t="array" ref="I97">_xlfn.IFS(H97&lt;50000,"Under $50K", H97&lt;100000,"$50K–$100K",
     H97&lt;200000,"$100K–$200K", H97&lt;500000,"$200K–$500K",
     H97&gt;=500000,"$500K+")</f>
        <v>$500K+</v>
      </c>
      <c r="J97" s="9" t="str">
        <f t="shared" si="5"/>
        <v>2020s</v>
      </c>
      <c r="K97">
        <f t="shared" si="6"/>
        <v>5.9374681739484673E-2</v>
      </c>
      <c r="L97">
        <f t="shared" si="7"/>
        <v>0.42609699769053117</v>
      </c>
      <c r="M97">
        <f t="shared" si="8"/>
        <v>0.78723404255319152</v>
      </c>
      <c r="N97">
        <f t="shared" si="9"/>
        <v>0.42423524066106916</v>
      </c>
    </row>
    <row r="98" spans="1:14">
      <c r="A98" t="s">
        <v>36</v>
      </c>
      <c r="B98" t="s">
        <v>125</v>
      </c>
      <c r="C98">
        <v>2022</v>
      </c>
      <c r="D98">
        <v>4</v>
      </c>
      <c r="E98">
        <v>414</v>
      </c>
      <c r="F98">
        <v>309</v>
      </c>
      <c r="G98">
        <v>4.2</v>
      </c>
      <c r="H98" s="4">
        <v>100550</v>
      </c>
      <c r="I98" s="8" t="str" cm="1">
        <f t="array" ref="I98">_xlfn.IFS(H98&lt;50000,"Under $50K", H98&lt;100000,"$50K–$100K",
     H98&lt;200000,"$100K–$200K", H98&lt;500000,"$200K–$500K",
     H98&gt;=500000,"$500K+")</f>
        <v>$100K–$200K</v>
      </c>
      <c r="J98" s="9" t="str">
        <f t="shared" si="5"/>
        <v>2020s</v>
      </c>
      <c r="K98">
        <f t="shared" si="6"/>
        <v>2.3729504022812913E-2</v>
      </c>
      <c r="L98">
        <f t="shared" si="7"/>
        <v>0.17840646651270209</v>
      </c>
      <c r="M98">
        <f t="shared" si="8"/>
        <v>0.4893617021276595</v>
      </c>
      <c r="N98">
        <f t="shared" si="9"/>
        <v>0.23049922422105817</v>
      </c>
    </row>
    <row r="99" spans="1:14">
      <c r="A99" t="s">
        <v>37</v>
      </c>
      <c r="B99" t="s">
        <v>84</v>
      </c>
      <c r="C99">
        <v>2022</v>
      </c>
      <c r="D99" t="s">
        <v>85</v>
      </c>
      <c r="E99">
        <v>1914</v>
      </c>
      <c r="F99">
        <v>1696</v>
      </c>
      <c r="G99">
        <v>1.95</v>
      </c>
      <c r="H99" s="4">
        <v>2400000</v>
      </c>
      <c r="I99" s="8" t="str" cm="1">
        <f t="array" ref="I99">_xlfn.IFS(H99&lt;50000,"Under $50K", H99&lt;100000,"$50K–$100K",
     H99&lt;200000,"$100K–$200K", H99&lt;500000,"$200K–$500K",
     H99&gt;=500000,"$500K+")</f>
        <v>$500K+</v>
      </c>
      <c r="J99" s="9" t="str">
        <f t="shared" si="5"/>
        <v>2020s</v>
      </c>
      <c r="K99">
        <f t="shared" si="6"/>
        <v>0.1764945513799776</v>
      </c>
      <c r="L99">
        <f t="shared" si="7"/>
        <v>0.97921478060046185</v>
      </c>
      <c r="M99">
        <f t="shared" si="8"/>
        <v>0.96808510638297873</v>
      </c>
      <c r="N99">
        <f t="shared" si="9"/>
        <v>0.70793147945447277</v>
      </c>
    </row>
    <row r="100" spans="1:14">
      <c r="A100" t="s">
        <v>38</v>
      </c>
      <c r="B100" t="s">
        <v>126</v>
      </c>
      <c r="C100">
        <v>2021</v>
      </c>
      <c r="D100">
        <v>6.8</v>
      </c>
      <c r="E100">
        <v>624</v>
      </c>
      <c r="F100">
        <v>605</v>
      </c>
      <c r="G100">
        <v>4.4000000000000004</v>
      </c>
      <c r="H100" s="4">
        <v>330000</v>
      </c>
      <c r="I100" s="8" t="str" cm="1">
        <f t="array" ref="I100">_xlfn.IFS(H100&lt;50000,"Under $50K", H100&lt;100000,"$50K–$100K",
     H100&lt;200000,"$100K–$200K", H100&lt;500000,"$200K–$500K",
     H100&gt;=500000,"$500K+")</f>
        <v>$200K–$500K</v>
      </c>
      <c r="J100" s="9" t="str">
        <f t="shared" si="5"/>
        <v>2020s</v>
      </c>
      <c r="K100">
        <f t="shared" si="6"/>
        <v>4.5116610652815969E-2</v>
      </c>
      <c r="L100">
        <f t="shared" si="7"/>
        <v>0.34930715935334872</v>
      </c>
      <c r="M100">
        <f t="shared" si="8"/>
        <v>0.44680851063829774</v>
      </c>
      <c r="N100">
        <f t="shared" si="9"/>
        <v>0.28041076021482081</v>
      </c>
    </row>
    <row r="101" spans="1:14">
      <c r="A101" t="s">
        <v>41</v>
      </c>
      <c r="B101" t="s">
        <v>127</v>
      </c>
      <c r="C101">
        <v>2022</v>
      </c>
      <c r="D101" t="s">
        <v>85</v>
      </c>
      <c r="E101" t="s">
        <v>128</v>
      </c>
      <c r="F101">
        <v>737</v>
      </c>
      <c r="G101">
        <v>1.9</v>
      </c>
      <c r="H101" s="4">
        <v>200000</v>
      </c>
      <c r="I101" s="8" t="str" cm="1">
        <f t="array" ref="I101">_xlfn.IFS(H101&lt;50000,"Under $50K", H101&lt;100000,"$50K–$100K",
     H101&lt;200000,"$100K–$200K", H101&lt;500000,"$200K–$500K",
     H101&gt;=500000,"$500K+")</f>
        <v>$200K–$500K</v>
      </c>
      <c r="J101" s="9" t="str">
        <f t="shared" si="5"/>
        <v>2020s</v>
      </c>
      <c r="K101" t="e">
        <f t="shared" si="6"/>
        <v>#VALUE!</v>
      </c>
      <c r="L101">
        <f t="shared" si="7"/>
        <v>0.42551963048498848</v>
      </c>
      <c r="M101">
        <f t="shared" si="8"/>
        <v>0.97872340425531923</v>
      </c>
      <c r="N101" t="e">
        <f t="shared" si="9"/>
        <v>#VALUE!</v>
      </c>
    </row>
    <row r="102" spans="1:14">
      <c r="A102" t="s">
        <v>42</v>
      </c>
      <c r="B102" t="s">
        <v>129</v>
      </c>
      <c r="C102">
        <v>2022</v>
      </c>
      <c r="D102">
        <v>3</v>
      </c>
      <c r="E102">
        <v>382</v>
      </c>
      <c r="F102">
        <v>368</v>
      </c>
      <c r="G102">
        <v>3.9</v>
      </c>
      <c r="H102" s="4">
        <v>43090</v>
      </c>
      <c r="I102" s="8" t="str" cm="1">
        <f t="array" ref="I102">_xlfn.IFS(H102&lt;50000,"Under $50K", H102&lt;100000,"$50K–$100K",
     H102&lt;200000,"$100K–$200K", H102&lt;500000,"$200K–$500K",
     H102&gt;=500000,"$500K+")</f>
        <v>Under $50K</v>
      </c>
      <c r="J102" s="9" t="str">
        <f t="shared" si="5"/>
        <v>2020s</v>
      </c>
      <c r="K102">
        <f t="shared" si="6"/>
        <v>2.0470516345860067E-2</v>
      </c>
      <c r="L102">
        <f t="shared" si="7"/>
        <v>0.21247113163972287</v>
      </c>
      <c r="M102">
        <f t="shared" si="8"/>
        <v>0.55319148936170226</v>
      </c>
      <c r="N102">
        <f t="shared" si="9"/>
        <v>0.26204437911576173</v>
      </c>
    </row>
    <row r="103" spans="1:14">
      <c r="A103" t="s">
        <v>45</v>
      </c>
      <c r="B103" t="s">
        <v>130</v>
      </c>
      <c r="C103">
        <v>2022</v>
      </c>
      <c r="D103">
        <v>3.8</v>
      </c>
      <c r="E103">
        <v>800</v>
      </c>
      <c r="F103">
        <v>723</v>
      </c>
      <c r="G103">
        <v>2.7</v>
      </c>
      <c r="H103" s="4">
        <v>1700000</v>
      </c>
      <c r="I103" s="8" t="str" cm="1">
        <f t="array" ref="I103">_xlfn.IFS(H103&lt;50000,"Under $50K", H103&lt;100000,"$50K–$100K",
     H103&lt;200000,"$100K–$200K", H103&lt;500000,"$200K–$500K",
     H103&gt;=500000,"$500K+")</f>
        <v>$500K+</v>
      </c>
      <c r="J103" s="9" t="str">
        <f t="shared" si="5"/>
        <v>2020s</v>
      </c>
      <c r="K103">
        <f t="shared" si="6"/>
        <v>6.3041042876056622E-2</v>
      </c>
      <c r="L103">
        <f t="shared" si="7"/>
        <v>0.41743648960739033</v>
      </c>
      <c r="M103">
        <f t="shared" si="8"/>
        <v>0.80851063829787229</v>
      </c>
      <c r="N103">
        <f t="shared" si="9"/>
        <v>0.42966272359377305</v>
      </c>
    </row>
    <row r="104" spans="1:14">
      <c r="A104" t="s">
        <v>36</v>
      </c>
      <c r="B104" t="s">
        <v>122</v>
      </c>
      <c r="C104">
        <v>2022</v>
      </c>
      <c r="D104">
        <v>2</v>
      </c>
      <c r="E104">
        <v>300</v>
      </c>
      <c r="F104">
        <v>280</v>
      </c>
      <c r="G104">
        <v>4.7</v>
      </c>
      <c r="H104" s="4">
        <v>60500</v>
      </c>
      <c r="I104" s="8" t="str" cm="1">
        <f t="array" ref="I104">_xlfn.IFS(H104&lt;50000,"Under $50K", H104&lt;100000,"$50K–$100K",
     H104&lt;200000,"$100K–$200K", H104&lt;500000,"$200K–$500K",
     H104&gt;=500000,"$500K+")</f>
        <v>$50K–$100K</v>
      </c>
      <c r="J104" s="9" t="str">
        <f t="shared" si="5"/>
        <v>2020s</v>
      </c>
      <c r="K104">
        <f t="shared" si="6"/>
        <v>1.2119360423668398E-2</v>
      </c>
      <c r="L104">
        <f t="shared" si="7"/>
        <v>0.16166281755196305</v>
      </c>
      <c r="M104">
        <f t="shared" si="8"/>
        <v>0.38297872340425532</v>
      </c>
      <c r="N104">
        <f t="shared" si="9"/>
        <v>0.18558696712662892</v>
      </c>
    </row>
    <row r="105" spans="1:14">
      <c r="A105" t="s">
        <v>24</v>
      </c>
      <c r="B105" t="s">
        <v>115</v>
      </c>
      <c r="C105">
        <v>2021</v>
      </c>
      <c r="D105">
        <v>6.5</v>
      </c>
      <c r="E105">
        <v>770</v>
      </c>
      <c r="F105">
        <v>531</v>
      </c>
      <c r="G105">
        <v>2.9</v>
      </c>
      <c r="H105" s="4">
        <v>522000</v>
      </c>
      <c r="I105" s="8" t="str" cm="1">
        <f t="array" ref="I105">_xlfn.IFS(H105&lt;50000,"Under $50K", H105&lt;100000,"$50K–$100K",
     H105&lt;200000,"$100K–$200K", H105&lt;500000,"$200K–$500K",
     H105&gt;=500000,"$500K+")</f>
        <v>$500K+</v>
      </c>
      <c r="J105" s="9" t="str">
        <f t="shared" si="5"/>
        <v>2020s</v>
      </c>
      <c r="K105">
        <f t="shared" si="6"/>
        <v>5.998574192891333E-2</v>
      </c>
      <c r="L105">
        <f t="shared" si="7"/>
        <v>0.30658198614318705</v>
      </c>
      <c r="M105">
        <f t="shared" si="8"/>
        <v>0.76595744680851063</v>
      </c>
      <c r="N105">
        <f t="shared" si="9"/>
        <v>0.37750839162687039</v>
      </c>
    </row>
    <row r="106" spans="1:14">
      <c r="A106" t="s">
        <v>19</v>
      </c>
      <c r="B106" t="s">
        <v>88</v>
      </c>
      <c r="C106">
        <v>2021</v>
      </c>
      <c r="D106">
        <v>4</v>
      </c>
      <c r="E106">
        <v>986</v>
      </c>
      <c r="F106">
        <v>590</v>
      </c>
      <c r="G106">
        <v>2.5</v>
      </c>
      <c r="H106" s="4">
        <v>625000</v>
      </c>
      <c r="I106" s="8" t="str" cm="1">
        <f t="array" ref="I106">_xlfn.IFS(H106&lt;50000,"Under $50K", H106&lt;100000,"$50K–$100K",
     H106&lt;200000,"$100K–$200K", H106&lt;500000,"$200K–$500K",
     H106&gt;=500000,"$500K+")</f>
        <v>$500K+</v>
      </c>
      <c r="J106" s="9" t="str">
        <f t="shared" si="5"/>
        <v>2020s</v>
      </c>
      <c r="K106">
        <f t="shared" si="6"/>
        <v>8.1983908748345047E-2</v>
      </c>
      <c r="L106">
        <f t="shared" si="7"/>
        <v>0.34064665127020788</v>
      </c>
      <c r="M106">
        <f t="shared" si="8"/>
        <v>0.85106382978723405</v>
      </c>
      <c r="N106">
        <f t="shared" si="9"/>
        <v>0.42456479660192903</v>
      </c>
    </row>
    <row r="107" spans="1:14">
      <c r="A107" t="s">
        <v>13</v>
      </c>
      <c r="B107" t="s">
        <v>118</v>
      </c>
      <c r="C107">
        <v>2022</v>
      </c>
      <c r="D107">
        <v>2.5</v>
      </c>
      <c r="E107">
        <v>394</v>
      </c>
      <c r="F107">
        <v>354</v>
      </c>
      <c r="G107">
        <v>3.4</v>
      </c>
      <c r="H107" s="4">
        <v>67000</v>
      </c>
      <c r="I107" s="8" t="str" cm="1">
        <f t="array" ref="I107">_xlfn.IFS(H107&lt;50000,"Under $50K", H107&lt;100000,"$50K–$100K",
     H107&lt;200000,"$100K–$200K", H107&lt;500000,"$200K–$500K",
     H107&gt;=500000,"$500K+")</f>
        <v>$50K–$100K</v>
      </c>
      <c r="J107" s="9" t="str">
        <f t="shared" si="5"/>
        <v>2020s</v>
      </c>
      <c r="K107">
        <f t="shared" si="6"/>
        <v>2.1692636724717385E-2</v>
      </c>
      <c r="L107">
        <f t="shared" si="7"/>
        <v>0.20438799076212472</v>
      </c>
      <c r="M107">
        <f t="shared" si="8"/>
        <v>0.65957446808510645</v>
      </c>
      <c r="N107">
        <f t="shared" si="9"/>
        <v>0.29521836519064953</v>
      </c>
    </row>
    <row r="108" spans="1:14">
      <c r="A108" t="s">
        <v>29</v>
      </c>
      <c r="B108" t="s">
        <v>92</v>
      </c>
      <c r="C108">
        <v>2021</v>
      </c>
      <c r="D108">
        <v>4</v>
      </c>
      <c r="E108">
        <v>612</v>
      </c>
      <c r="F108">
        <v>465</v>
      </c>
      <c r="G108">
        <v>3.1</v>
      </c>
      <c r="H108" s="4">
        <v>212500</v>
      </c>
      <c r="I108" s="8" t="str" cm="1">
        <f t="array" ref="I108">_xlfn.IFS(H108&lt;50000,"Under $50K", H108&lt;100000,"$50K–$100K",
     H108&lt;200000,"$100K–$200K", H108&lt;500000,"$200K–$500K",
     H108&gt;=500000,"$500K+")</f>
        <v>$200K–$500K</v>
      </c>
      <c r="J108" s="9" t="str">
        <f t="shared" si="5"/>
        <v>2020s</v>
      </c>
      <c r="K108">
        <f t="shared" si="6"/>
        <v>4.3894490273958649E-2</v>
      </c>
      <c r="L108">
        <f t="shared" si="7"/>
        <v>0.26847575057736722</v>
      </c>
      <c r="M108">
        <f t="shared" si="8"/>
        <v>0.72340425531914887</v>
      </c>
      <c r="N108">
        <f t="shared" si="9"/>
        <v>0.34525816539015824</v>
      </c>
    </row>
    <row r="109" spans="1:14">
      <c r="A109" t="s">
        <v>15</v>
      </c>
      <c r="B109" t="s">
        <v>90</v>
      </c>
      <c r="C109">
        <v>2022</v>
      </c>
      <c r="D109">
        <v>3</v>
      </c>
      <c r="E109">
        <v>503</v>
      </c>
      <c r="F109">
        <v>479</v>
      </c>
      <c r="G109">
        <v>3.8</v>
      </c>
      <c r="H109" s="4">
        <v>75000</v>
      </c>
      <c r="I109" s="8" t="str" cm="1">
        <f t="array" ref="I109">_xlfn.IFS(H109&lt;50000,"Under $50K", H109&lt;100000,"$50K–$100K",
     H109&lt;200000,"$100K–$200K", H109&lt;500000,"$200K–$500K",
     H109&gt;=500000,"$500K+")</f>
        <v>$50K–$100K</v>
      </c>
      <c r="J109" s="9" t="str">
        <f t="shared" si="5"/>
        <v>2020s</v>
      </c>
      <c r="K109">
        <f t="shared" si="6"/>
        <v>3.279356349933802E-2</v>
      </c>
      <c r="L109">
        <f t="shared" si="7"/>
        <v>0.27655889145496537</v>
      </c>
      <c r="M109">
        <f t="shared" si="8"/>
        <v>0.57446808510638303</v>
      </c>
      <c r="N109">
        <f t="shared" si="9"/>
        <v>0.29460684668689546</v>
      </c>
    </row>
    <row r="110" spans="1:14">
      <c r="A110" t="s">
        <v>31</v>
      </c>
      <c r="B110" t="s">
        <v>131</v>
      </c>
      <c r="C110">
        <v>2021</v>
      </c>
      <c r="D110">
        <v>4</v>
      </c>
      <c r="E110">
        <v>603</v>
      </c>
      <c r="F110">
        <v>664</v>
      </c>
      <c r="G110">
        <v>3.5</v>
      </c>
      <c r="H110" s="4">
        <v>155000</v>
      </c>
      <c r="I110" s="8" t="str" cm="1">
        <f t="array" ref="I110">_xlfn.IFS(H110&lt;50000,"Under $50K", H110&lt;100000,"$50K–$100K",
     H110&lt;200000,"$100K–$200K", H110&lt;500000,"$200K–$500K",
     H110&gt;=500000,"$500K+")</f>
        <v>$100K–$200K</v>
      </c>
      <c r="J110" s="9" t="str">
        <f t="shared" si="5"/>
        <v>2020s</v>
      </c>
      <c r="K110">
        <f t="shared" si="6"/>
        <v>4.2977899989815667E-2</v>
      </c>
      <c r="L110">
        <f t="shared" si="7"/>
        <v>0.38337182448036949</v>
      </c>
      <c r="M110">
        <f t="shared" si="8"/>
        <v>0.63829787234042556</v>
      </c>
      <c r="N110">
        <f t="shared" si="9"/>
        <v>0.35488253227020355</v>
      </c>
    </row>
    <row r="111" spans="1:14">
      <c r="A111" t="s">
        <v>17</v>
      </c>
      <c r="B111" t="s">
        <v>91</v>
      </c>
      <c r="C111">
        <v>2021</v>
      </c>
      <c r="D111">
        <v>6.2</v>
      </c>
      <c r="E111">
        <v>650</v>
      </c>
      <c r="F111">
        <v>650</v>
      </c>
      <c r="G111">
        <v>3.5</v>
      </c>
      <c r="H111" s="4">
        <v>64000</v>
      </c>
      <c r="I111" s="8" t="str" cm="1">
        <f t="array" ref="I111">_xlfn.IFS(H111&lt;50000,"Under $50K", H111&lt;100000,"$50K–$100K",
     H111&lt;200000,"$100K–$200K", H111&lt;500000,"$200K–$500K",
     H111&gt;=500000,"$500K+")</f>
        <v>$50K–$100K</v>
      </c>
      <c r="J111" s="9" t="str">
        <f t="shared" si="5"/>
        <v>2020s</v>
      </c>
      <c r="K111">
        <f t="shared" si="6"/>
        <v>4.7764538140340158E-2</v>
      </c>
      <c r="L111">
        <f t="shared" si="7"/>
        <v>0.37528868360277134</v>
      </c>
      <c r="M111">
        <f t="shared" si="8"/>
        <v>0.63829787234042556</v>
      </c>
      <c r="N111">
        <f t="shared" si="9"/>
        <v>0.35378369802784571</v>
      </c>
    </row>
    <row r="112" spans="1:14">
      <c r="A112" t="s">
        <v>20</v>
      </c>
      <c r="B112" t="s">
        <v>92</v>
      </c>
      <c r="C112">
        <v>2022</v>
      </c>
      <c r="D112">
        <v>3.5</v>
      </c>
      <c r="E112">
        <v>660</v>
      </c>
      <c r="F112">
        <v>550</v>
      </c>
      <c r="G112">
        <v>2.8</v>
      </c>
      <c r="H112" s="4">
        <v>500000</v>
      </c>
      <c r="I112" s="8" t="str" cm="1">
        <f t="array" ref="I112">_xlfn.IFS(H112&lt;50000,"Under $50K", H112&lt;100000,"$50K–$100K",
     H112&lt;200000,"$100K–$200K", H112&lt;500000,"$200K–$500K",
     H112&gt;=500000,"$500K+")</f>
        <v>$500K+</v>
      </c>
      <c r="J112" s="9" t="str">
        <f t="shared" si="5"/>
        <v>2020s</v>
      </c>
      <c r="K112">
        <f t="shared" si="6"/>
        <v>4.8782971789387924E-2</v>
      </c>
      <c r="L112">
        <f t="shared" si="7"/>
        <v>0.31755196304849886</v>
      </c>
      <c r="M112">
        <f t="shared" si="8"/>
        <v>0.78723404255319152</v>
      </c>
      <c r="N112">
        <f t="shared" si="9"/>
        <v>0.38452299246369276</v>
      </c>
    </row>
    <row r="113" spans="1:14">
      <c r="A113" t="s">
        <v>32</v>
      </c>
      <c r="B113" t="s">
        <v>117</v>
      </c>
      <c r="C113">
        <v>2021</v>
      </c>
      <c r="D113">
        <v>3.7</v>
      </c>
      <c r="E113">
        <v>332</v>
      </c>
      <c r="F113">
        <v>270</v>
      </c>
      <c r="G113">
        <v>4.7</v>
      </c>
      <c r="H113" s="4">
        <v>31015</v>
      </c>
      <c r="I113" s="8" t="str" cm="1">
        <f t="array" ref="I113">_xlfn.IFS(H113&lt;50000,"Under $50K", H113&lt;100000,"$50K–$100K",
     H113&lt;200000,"$100K–$200K", H113&lt;500000,"$200K–$500K",
     H113&gt;=500000,"$500K+")</f>
        <v>Under $50K</v>
      </c>
      <c r="J113" s="9" t="str">
        <f t="shared" si="5"/>
        <v>2020s</v>
      </c>
      <c r="K113">
        <f t="shared" si="6"/>
        <v>1.5378348100621244E-2</v>
      </c>
      <c r="L113">
        <f t="shared" si="7"/>
        <v>0.15588914549653579</v>
      </c>
      <c r="M113">
        <f t="shared" si="8"/>
        <v>0.38297872340425532</v>
      </c>
      <c r="N113">
        <f t="shared" si="9"/>
        <v>0.18474873900047081</v>
      </c>
    </row>
    <row r="114" spans="1:14">
      <c r="A114" t="s">
        <v>12</v>
      </c>
      <c r="B114" t="s">
        <v>132</v>
      </c>
      <c r="C114">
        <v>2021</v>
      </c>
      <c r="D114">
        <v>5.2</v>
      </c>
      <c r="E114">
        <v>715</v>
      </c>
      <c r="F114">
        <v>664</v>
      </c>
      <c r="G114">
        <v>3.4</v>
      </c>
      <c r="H114" s="4">
        <v>304995</v>
      </c>
      <c r="I114" s="8" t="str" cm="1">
        <f t="array" ref="I114">_xlfn.IFS(H114&lt;50000,"Under $50K", H114&lt;100000,"$50K–$100K",
     H114&lt;200000,"$100K–$200K", H114&lt;500000,"$200K–$500K",
     H114&gt;=500000,"$500K+")</f>
        <v>$200K–$500K</v>
      </c>
      <c r="J114" s="9" t="str">
        <f t="shared" si="5"/>
        <v>2020s</v>
      </c>
      <c r="K114">
        <f t="shared" si="6"/>
        <v>5.4384356859150627E-2</v>
      </c>
      <c r="L114">
        <f t="shared" si="7"/>
        <v>0.38337182448036949</v>
      </c>
      <c r="M114">
        <f t="shared" si="8"/>
        <v>0.65957446808510645</v>
      </c>
      <c r="N114">
        <f t="shared" si="9"/>
        <v>0.36577688314154216</v>
      </c>
    </row>
    <row r="115" spans="1:14">
      <c r="A115" t="s">
        <v>16</v>
      </c>
      <c r="B115" t="s">
        <v>70</v>
      </c>
      <c r="C115">
        <v>2021</v>
      </c>
      <c r="D115">
        <v>8</v>
      </c>
      <c r="E115">
        <v>1500</v>
      </c>
      <c r="F115">
        <v>1180</v>
      </c>
      <c r="G115">
        <v>2.4</v>
      </c>
      <c r="H115" s="4">
        <v>3000000</v>
      </c>
      <c r="I115" s="8" t="str" cm="1">
        <f t="array" ref="I115">_xlfn.IFS(H115&lt;50000,"Under $50K", H115&lt;100000,"$50K–$100K",
     H115&lt;200000,"$100K–$200K", H115&lt;500000,"$200K–$500K",
     H115&gt;=500000,"$500K+")</f>
        <v>$500K+</v>
      </c>
      <c r="J115" s="9" t="str">
        <f t="shared" si="5"/>
        <v>2020s</v>
      </c>
      <c r="K115">
        <f t="shared" si="6"/>
        <v>0.13433139830940014</v>
      </c>
      <c r="L115">
        <f t="shared" si="7"/>
        <v>0.68129330254041576</v>
      </c>
      <c r="M115">
        <f t="shared" si="8"/>
        <v>0.87234042553191493</v>
      </c>
      <c r="N115">
        <f t="shared" si="9"/>
        <v>0.5626550421272436</v>
      </c>
    </row>
    <row r="116" spans="1:14">
      <c r="A116" t="s">
        <v>26</v>
      </c>
      <c r="B116" t="s">
        <v>75</v>
      </c>
      <c r="C116">
        <v>2021</v>
      </c>
      <c r="D116">
        <v>3.5</v>
      </c>
      <c r="E116">
        <v>416</v>
      </c>
      <c r="F116">
        <v>317</v>
      </c>
      <c r="G116">
        <v>3.8</v>
      </c>
      <c r="H116" s="4">
        <v>105000</v>
      </c>
      <c r="I116" s="8" t="str" cm="1">
        <f t="array" ref="I116">_xlfn.IFS(H116&lt;50000,"Under $50K", H116&lt;100000,"$50K–$100K",
     H116&lt;200000,"$100K–$200K", H116&lt;500000,"$200K–$500K",
     H116&gt;=500000,"$500K+")</f>
        <v>$100K–$200K</v>
      </c>
      <c r="J116" s="9" t="str">
        <f t="shared" si="5"/>
        <v>2020s</v>
      </c>
      <c r="K116">
        <f t="shared" si="6"/>
        <v>2.3933190752622468E-2</v>
      </c>
      <c r="L116">
        <f t="shared" si="7"/>
        <v>0.18302540415704388</v>
      </c>
      <c r="M116">
        <f t="shared" si="8"/>
        <v>0.57446808510638303</v>
      </c>
      <c r="N116">
        <f t="shared" si="9"/>
        <v>0.26047556000534983</v>
      </c>
    </row>
    <row r="117" spans="1:14">
      <c r="A117" t="s">
        <v>29</v>
      </c>
      <c r="B117" t="s">
        <v>103</v>
      </c>
      <c r="C117">
        <v>2021</v>
      </c>
      <c r="D117">
        <v>3.8</v>
      </c>
      <c r="E117">
        <v>562</v>
      </c>
      <c r="F117">
        <v>443</v>
      </c>
      <c r="G117">
        <v>3.2</v>
      </c>
      <c r="H117" s="4">
        <v>192500</v>
      </c>
      <c r="I117" s="8" t="str" cm="1">
        <f t="array" ref="I117">_xlfn.IFS(H117&lt;50000,"Under $50K", H117&lt;100000,"$50K–$100K",
     H117&lt;200000,"$100K–$200K", H117&lt;500000,"$200K–$500K",
     H117&gt;=500000,"$500K+")</f>
        <v>$100K–$200K</v>
      </c>
      <c r="J117" s="9" t="str">
        <f t="shared" si="5"/>
        <v>2020s</v>
      </c>
      <c r="K117">
        <f t="shared" si="6"/>
        <v>3.8802322028719832E-2</v>
      </c>
      <c r="L117">
        <f t="shared" si="7"/>
        <v>0.25577367205542723</v>
      </c>
      <c r="M117">
        <f t="shared" si="8"/>
        <v>0.7021276595744681</v>
      </c>
      <c r="N117">
        <f t="shared" si="9"/>
        <v>0.33223455121953838</v>
      </c>
    </row>
    <row r="118" spans="1:14">
      <c r="A118" t="s">
        <v>36</v>
      </c>
      <c r="B118" t="s">
        <v>133</v>
      </c>
      <c r="C118">
        <v>2021</v>
      </c>
      <c r="D118">
        <v>4</v>
      </c>
      <c r="E118">
        <v>690</v>
      </c>
      <c r="F118">
        <v>642</v>
      </c>
      <c r="G118">
        <v>3.2</v>
      </c>
      <c r="H118" s="4">
        <v>190000</v>
      </c>
      <c r="I118" s="8" t="str" cm="1">
        <f t="array" ref="I118">_xlfn.IFS(H118&lt;50000,"Under $50K", H118&lt;100000,"$50K–$100K",
     H118&lt;200000,"$100K–$200K", H118&lt;500000,"$200K–$500K",
     H118&gt;=500000,"$500K+")</f>
        <v>$100K–$200K</v>
      </c>
      <c r="J118" s="9" t="str">
        <f t="shared" si="5"/>
        <v>2020s</v>
      </c>
      <c r="K118">
        <f t="shared" si="6"/>
        <v>5.1838272736531216E-2</v>
      </c>
      <c r="L118">
        <f t="shared" si="7"/>
        <v>0.37066974595842955</v>
      </c>
      <c r="M118">
        <f t="shared" si="8"/>
        <v>0.7021276595744681</v>
      </c>
      <c r="N118">
        <f t="shared" si="9"/>
        <v>0.37487855942314297</v>
      </c>
    </row>
    <row r="119" spans="1:14">
      <c r="A119" t="s">
        <v>24</v>
      </c>
      <c r="B119" t="s">
        <v>96</v>
      </c>
      <c r="C119">
        <v>2021</v>
      </c>
      <c r="D119">
        <v>4</v>
      </c>
      <c r="E119">
        <v>641</v>
      </c>
      <c r="F119">
        <v>627</v>
      </c>
      <c r="G119">
        <v>3.6</v>
      </c>
      <c r="H119" s="4">
        <v>222000</v>
      </c>
      <c r="I119" s="8" t="str" cm="1">
        <f t="array" ref="I119">_xlfn.IFS(H119&lt;50000,"Under $50K", H119&lt;100000,"$50K–$100K",
     H119&lt;200000,"$100K–$200K", H119&lt;500000,"$200K–$500K",
     H119&gt;=500000,"$500K+")</f>
        <v>$200K–$500K</v>
      </c>
      <c r="J119" s="9" t="str">
        <f t="shared" si="5"/>
        <v>2020s</v>
      </c>
      <c r="K119">
        <f t="shared" si="6"/>
        <v>4.684794785619717E-2</v>
      </c>
      <c r="L119">
        <f t="shared" si="7"/>
        <v>0.36200923787528866</v>
      </c>
      <c r="M119">
        <f t="shared" si="8"/>
        <v>0.61702127659574468</v>
      </c>
      <c r="N119">
        <f t="shared" si="9"/>
        <v>0.34195948744241017</v>
      </c>
    </row>
    <row r="120" spans="1:14">
      <c r="A120" t="s">
        <v>19</v>
      </c>
      <c r="B120" t="s">
        <v>97</v>
      </c>
      <c r="C120">
        <v>2021</v>
      </c>
      <c r="D120">
        <v>3.9</v>
      </c>
      <c r="E120">
        <v>611</v>
      </c>
      <c r="F120">
        <v>561</v>
      </c>
      <c r="G120">
        <v>3.3</v>
      </c>
      <c r="H120" s="4">
        <v>222000</v>
      </c>
      <c r="I120" s="8" t="str" cm="1">
        <f t="array" ref="I120">_xlfn.IFS(H120&lt;50000,"Under $50K", H120&lt;100000,"$50K–$100K",
     H120&lt;200000,"$100K–$200K", H120&lt;500000,"$200K–$500K",
     H120&gt;=500000,"$500K+")</f>
        <v>$200K–$500K</v>
      </c>
      <c r="J120" s="9" t="str">
        <f t="shared" si="5"/>
        <v>2020s</v>
      </c>
      <c r="K120">
        <f t="shared" si="6"/>
        <v>4.3792646909053878E-2</v>
      </c>
      <c r="L120">
        <f t="shared" si="7"/>
        <v>0.32390300230946883</v>
      </c>
      <c r="M120">
        <f t="shared" si="8"/>
        <v>0.68085106382978733</v>
      </c>
      <c r="N120">
        <f t="shared" si="9"/>
        <v>0.34951557101610337</v>
      </c>
    </row>
    <row r="121" spans="1:14">
      <c r="A121" t="s">
        <v>13</v>
      </c>
      <c r="B121" t="s">
        <v>89</v>
      </c>
      <c r="C121">
        <v>2021</v>
      </c>
      <c r="D121">
        <v>4</v>
      </c>
      <c r="E121">
        <v>591</v>
      </c>
      <c r="F121">
        <v>590</v>
      </c>
      <c r="G121">
        <v>3.5</v>
      </c>
      <c r="H121" s="4">
        <v>115000</v>
      </c>
      <c r="I121" s="8" t="str" cm="1">
        <f t="array" ref="I121">_xlfn.IFS(H121&lt;50000,"Under $50K", H121&lt;100000,"$50K–$100K",
     H121&lt;200000,"$100K–$200K", H121&lt;500000,"$200K–$500K",
     H121&gt;=500000,"$500K+")</f>
        <v>$100K–$200K</v>
      </c>
      <c r="J121" s="9" t="str">
        <f t="shared" si="5"/>
        <v>2020s</v>
      </c>
      <c r="K121">
        <f t="shared" si="6"/>
        <v>4.1755779610958346E-2</v>
      </c>
      <c r="L121">
        <f t="shared" si="7"/>
        <v>0.34064665127020788</v>
      </c>
      <c r="M121">
        <f t="shared" si="8"/>
        <v>0.63829787234042556</v>
      </c>
      <c r="N121">
        <f t="shared" si="9"/>
        <v>0.34023343440719728</v>
      </c>
    </row>
    <row r="122" spans="1:14">
      <c r="A122" t="s">
        <v>15</v>
      </c>
      <c r="B122" t="s">
        <v>113</v>
      </c>
      <c r="C122">
        <v>2022</v>
      </c>
      <c r="D122">
        <v>3</v>
      </c>
      <c r="E122">
        <v>405</v>
      </c>
      <c r="F122">
        <v>406</v>
      </c>
      <c r="G122">
        <v>4.2</v>
      </c>
      <c r="H122" s="4">
        <v>59000</v>
      </c>
      <c r="I122" s="8" t="str" cm="1">
        <f t="array" ref="I122">_xlfn.IFS(H122&lt;50000,"Under $50K", H122&lt;100000,"$50K–$100K",
     H122&lt;200000,"$100K–$200K", H122&lt;500000,"$200K–$500K",
     H122&gt;=500000,"$500K+")</f>
        <v>$50K–$100K</v>
      </c>
      <c r="J122" s="9" t="str">
        <f t="shared" si="5"/>
        <v>2020s</v>
      </c>
      <c r="K122">
        <f t="shared" si="6"/>
        <v>2.2812913738669924E-2</v>
      </c>
      <c r="L122">
        <f t="shared" si="7"/>
        <v>0.23441108545034642</v>
      </c>
      <c r="M122">
        <f t="shared" si="8"/>
        <v>0.4893617021276595</v>
      </c>
      <c r="N122">
        <f t="shared" si="9"/>
        <v>0.24886190043889198</v>
      </c>
    </row>
    <row r="123" spans="1:14">
      <c r="A123" t="s">
        <v>36</v>
      </c>
      <c r="B123" t="s">
        <v>86</v>
      </c>
      <c r="C123">
        <v>2022</v>
      </c>
      <c r="D123">
        <v>4</v>
      </c>
      <c r="E123">
        <v>414</v>
      </c>
      <c r="F123">
        <v>309</v>
      </c>
      <c r="G123">
        <v>4.2</v>
      </c>
      <c r="H123" s="4">
        <v>102100</v>
      </c>
      <c r="I123" s="8" t="str" cm="1">
        <f t="array" ref="I123">_xlfn.IFS(H123&lt;50000,"Under $50K", H123&lt;100000,"$50K–$100K",
     H123&lt;200000,"$100K–$200K", H123&lt;500000,"$200K–$500K",
     H123&gt;=500000,"$500K+")</f>
        <v>$100K–$200K</v>
      </c>
      <c r="J123" s="9" t="str">
        <f t="shared" si="5"/>
        <v>2020s</v>
      </c>
      <c r="K123">
        <f t="shared" si="6"/>
        <v>2.3729504022812913E-2</v>
      </c>
      <c r="L123">
        <f t="shared" si="7"/>
        <v>0.17840646651270209</v>
      </c>
      <c r="M123">
        <f t="shared" si="8"/>
        <v>0.4893617021276595</v>
      </c>
      <c r="N123">
        <f t="shared" si="9"/>
        <v>0.23049922422105817</v>
      </c>
    </row>
    <row r="124" spans="1:14">
      <c r="A124" t="s">
        <v>24</v>
      </c>
      <c r="B124" t="s">
        <v>115</v>
      </c>
      <c r="C124">
        <v>2021</v>
      </c>
      <c r="D124">
        <v>6.5</v>
      </c>
      <c r="E124">
        <v>730</v>
      </c>
      <c r="F124">
        <v>509</v>
      </c>
      <c r="G124">
        <v>2.9</v>
      </c>
      <c r="H124" s="4">
        <v>417826</v>
      </c>
      <c r="I124" s="8" t="str" cm="1">
        <f t="array" ref="I124">_xlfn.IFS(H124&lt;50000,"Under $50K", H124&lt;100000,"$50K–$100K",
     H124&lt;200000,"$100K–$200K", H124&lt;500000,"$200K–$500K",
     H124&gt;=500000,"$500K+")</f>
        <v>$200K–$500K</v>
      </c>
      <c r="J124" s="9" t="str">
        <f t="shared" si="5"/>
        <v>2020s</v>
      </c>
      <c r="K124">
        <f t="shared" si="6"/>
        <v>5.5912007332722273E-2</v>
      </c>
      <c r="L124">
        <f t="shared" si="7"/>
        <v>0.29387990762124711</v>
      </c>
      <c r="M124">
        <f t="shared" si="8"/>
        <v>0.76595744680851063</v>
      </c>
      <c r="N124">
        <f t="shared" si="9"/>
        <v>0.37191645392082667</v>
      </c>
    </row>
    <row r="125" spans="1:14">
      <c r="A125" t="s">
        <v>12</v>
      </c>
      <c r="B125" t="s">
        <v>132</v>
      </c>
      <c r="C125">
        <v>2021</v>
      </c>
      <c r="D125">
        <v>5.2</v>
      </c>
      <c r="E125">
        <v>715</v>
      </c>
      <c r="F125">
        <v>664</v>
      </c>
      <c r="G125">
        <v>3.2</v>
      </c>
      <c r="H125" s="4">
        <v>304995</v>
      </c>
      <c r="I125" s="8" t="str" cm="1">
        <f t="array" ref="I125">_xlfn.IFS(H125&lt;50000,"Under $50K", H125&lt;100000,"$50K–$100K",
     H125&lt;200000,"$100K–$200K", H125&lt;500000,"$200K–$500K",
     H125&gt;=500000,"$500K+")</f>
        <v>$200K–$500K</v>
      </c>
      <c r="J125" s="9" t="str">
        <f t="shared" si="5"/>
        <v>2020s</v>
      </c>
      <c r="K125">
        <f t="shared" si="6"/>
        <v>5.4384356859150627E-2</v>
      </c>
      <c r="L125">
        <f t="shared" si="7"/>
        <v>0.38337182448036949</v>
      </c>
      <c r="M125">
        <f t="shared" si="8"/>
        <v>0.7021276595744681</v>
      </c>
      <c r="N125">
        <f t="shared" si="9"/>
        <v>0.37996128030466275</v>
      </c>
    </row>
    <row r="126" spans="1:14">
      <c r="A126" t="s">
        <v>14</v>
      </c>
      <c r="B126" t="s">
        <v>80</v>
      </c>
      <c r="C126">
        <v>2021</v>
      </c>
      <c r="D126">
        <v>6</v>
      </c>
      <c r="E126">
        <v>626</v>
      </c>
      <c r="F126">
        <v>664</v>
      </c>
      <c r="G126">
        <v>3.6</v>
      </c>
      <c r="H126" s="4">
        <v>220300</v>
      </c>
      <c r="I126" s="8" t="str" cm="1">
        <f t="array" ref="I126">_xlfn.IFS(H126&lt;50000,"Under $50K", H126&lt;100000,"$50K–$100K",
     H126&lt;200000,"$100K–$200K", H126&lt;500000,"$200K–$500K",
     H126&gt;=500000,"$500K+")</f>
        <v>$200K–$500K</v>
      </c>
      <c r="J126" s="9" t="str">
        <f t="shared" si="5"/>
        <v>2020s</v>
      </c>
      <c r="K126">
        <f t="shared" si="6"/>
        <v>4.5320297382625524E-2</v>
      </c>
      <c r="L126">
        <f t="shared" si="7"/>
        <v>0.38337182448036949</v>
      </c>
      <c r="M126">
        <f t="shared" si="8"/>
        <v>0.61702127659574468</v>
      </c>
      <c r="N126">
        <f t="shared" si="9"/>
        <v>0.34857113281957991</v>
      </c>
    </row>
    <row r="127" spans="1:14">
      <c r="A127" t="s">
        <v>13</v>
      </c>
      <c r="B127" t="s">
        <v>89</v>
      </c>
      <c r="C127">
        <v>2022</v>
      </c>
      <c r="D127">
        <v>4</v>
      </c>
      <c r="E127">
        <v>591</v>
      </c>
      <c r="F127">
        <v>590</v>
      </c>
      <c r="G127">
        <v>3.5</v>
      </c>
      <c r="H127" s="4">
        <v>114000</v>
      </c>
      <c r="I127" s="8" t="str" cm="1">
        <f t="array" ref="I127">_xlfn.IFS(H127&lt;50000,"Under $50K", H127&lt;100000,"$50K–$100K",
     H127&lt;200000,"$100K–$200K", H127&lt;500000,"$200K–$500K",
     H127&gt;=500000,"$500K+")</f>
        <v>$100K–$200K</v>
      </c>
      <c r="J127" s="9" t="str">
        <f t="shared" si="5"/>
        <v>2020s</v>
      </c>
      <c r="K127">
        <f t="shared" si="6"/>
        <v>4.1755779610958346E-2</v>
      </c>
      <c r="L127">
        <f t="shared" si="7"/>
        <v>0.34064665127020788</v>
      </c>
      <c r="M127">
        <f t="shared" si="8"/>
        <v>0.63829787234042556</v>
      </c>
      <c r="N127">
        <f t="shared" si="9"/>
        <v>0.34023343440719728</v>
      </c>
    </row>
    <row r="128" spans="1:14">
      <c r="A128" t="s">
        <v>31</v>
      </c>
      <c r="B128" t="s">
        <v>82</v>
      </c>
      <c r="C128">
        <v>2021</v>
      </c>
      <c r="D128">
        <v>6.2</v>
      </c>
      <c r="E128">
        <v>622</v>
      </c>
      <c r="F128">
        <v>468</v>
      </c>
      <c r="G128">
        <v>3.7</v>
      </c>
      <c r="H128" s="4">
        <v>239100</v>
      </c>
      <c r="I128" s="8" t="str" cm="1">
        <f t="array" ref="I128">_xlfn.IFS(H128&lt;50000,"Under $50K", H128&lt;100000,"$50K–$100K",
     H128&lt;200000,"$100K–$200K", H128&lt;500000,"$200K–$500K",
     H128&gt;=500000,"$500K+")</f>
        <v>$200K–$500K</v>
      </c>
      <c r="J128" s="9" t="str">
        <f t="shared" si="5"/>
        <v>2020s</v>
      </c>
      <c r="K128">
        <f t="shared" si="6"/>
        <v>4.4912923923006415E-2</v>
      </c>
      <c r="L128">
        <f t="shared" si="7"/>
        <v>0.2702078521939954</v>
      </c>
      <c r="M128">
        <f t="shared" si="8"/>
        <v>0.5957446808510638</v>
      </c>
      <c r="N128">
        <f t="shared" si="9"/>
        <v>0.3036218189893552</v>
      </c>
    </row>
    <row r="129" spans="1:14">
      <c r="A129" t="s">
        <v>29</v>
      </c>
      <c r="B129" t="s">
        <v>103</v>
      </c>
      <c r="C129">
        <v>2021</v>
      </c>
      <c r="D129">
        <v>3.8</v>
      </c>
      <c r="E129">
        <v>562</v>
      </c>
      <c r="F129">
        <v>443</v>
      </c>
      <c r="G129">
        <v>3.1</v>
      </c>
      <c r="H129" s="4">
        <v>192500</v>
      </c>
      <c r="I129" s="8" t="str" cm="1">
        <f t="array" ref="I129">_xlfn.IFS(H129&lt;50000,"Under $50K", H129&lt;100000,"$50K–$100K",
     H129&lt;200000,"$100K–$200K", H129&lt;500000,"$200K–$500K",
     H129&gt;=500000,"$500K+")</f>
        <v>$100K–$200K</v>
      </c>
      <c r="J129" s="9" t="str">
        <f t="shared" si="5"/>
        <v>2020s</v>
      </c>
      <c r="K129">
        <f t="shared" si="6"/>
        <v>3.8802322028719832E-2</v>
      </c>
      <c r="L129">
        <f t="shared" si="7"/>
        <v>0.25577367205542723</v>
      </c>
      <c r="M129">
        <f t="shared" si="8"/>
        <v>0.72340425531914887</v>
      </c>
      <c r="N129">
        <f t="shared" si="9"/>
        <v>0.33932674980109861</v>
      </c>
    </row>
    <row r="130" spans="1:14">
      <c r="A130" t="s">
        <v>15</v>
      </c>
      <c r="B130" t="s">
        <v>113</v>
      </c>
      <c r="C130">
        <v>2022</v>
      </c>
      <c r="D130">
        <v>3</v>
      </c>
      <c r="E130">
        <v>405</v>
      </c>
      <c r="F130">
        <v>406</v>
      </c>
      <c r="G130">
        <v>4</v>
      </c>
      <c r="H130" s="4">
        <v>58900</v>
      </c>
      <c r="I130" s="8" t="str" cm="1">
        <f t="array" ref="I130">_xlfn.IFS(H130&lt;50000,"Under $50K", H130&lt;100000,"$50K–$100K",
     H130&lt;200000,"$100K–$200K", H130&lt;500000,"$200K–$500K",
     H130&gt;=500000,"$500K+")</f>
        <v>$50K–$100K</v>
      </c>
      <c r="J130" s="9" t="str">
        <f t="shared" si="5"/>
        <v>2020s</v>
      </c>
      <c r="K130">
        <f t="shared" si="6"/>
        <v>2.2812913738669924E-2</v>
      </c>
      <c r="L130">
        <f t="shared" si="7"/>
        <v>0.23441108545034642</v>
      </c>
      <c r="M130">
        <f t="shared" si="8"/>
        <v>0.53191489361702127</v>
      </c>
      <c r="N130">
        <f t="shared" si="9"/>
        <v>0.26304629760201254</v>
      </c>
    </row>
    <row r="131" spans="1:14">
      <c r="A131" t="s">
        <v>17</v>
      </c>
      <c r="B131" t="s">
        <v>91</v>
      </c>
      <c r="C131">
        <v>2021</v>
      </c>
      <c r="D131">
        <v>6.2</v>
      </c>
      <c r="E131">
        <v>650</v>
      </c>
      <c r="F131">
        <v>650</v>
      </c>
      <c r="G131">
        <v>3.5</v>
      </c>
      <c r="H131" s="4">
        <v>62500</v>
      </c>
      <c r="I131" s="8" t="str" cm="1">
        <f t="array" ref="I131">_xlfn.IFS(H131&lt;50000,"Under $50K", H131&lt;100000,"$50K–$100K",
     H131&lt;200000,"$100K–$200K", H131&lt;500000,"$200K–$500K",
     H131&gt;=500000,"$500K+")</f>
        <v>$50K–$100K</v>
      </c>
      <c r="J131" s="9" t="str">
        <f t="shared" ref="J131:J194" si="10">_xlfn.CONCAT(INT(C131/10)*10,"s")</f>
        <v>2020s</v>
      </c>
      <c r="K131">
        <f t="shared" ref="K131:K194" si="11">(E131-MIN($E$2:$E$1008))/(MAX($E$2:$E$1008)-MIN($E$2:$E$1008))</f>
        <v>4.7764538140340158E-2</v>
      </c>
      <c r="L131">
        <f t="shared" ref="L131:L194" si="12">(F131-MIN($F$2:$F$501))/(MAX($F$2:$F$501)-MIN($F$2:$F$501))</f>
        <v>0.37528868360277134</v>
      </c>
      <c r="M131">
        <f t="shared" ref="M131:M194" si="13">1-((G131-MIN($G$2:$G$501))/(MAX($G$2:$G$501)-MIN($G$2:$G$501)))</f>
        <v>0.63829787234042556</v>
      </c>
      <c r="N131">
        <f t="shared" ref="N131:N194" si="14">AVERAGE(K131,L131,M131)</f>
        <v>0.35378369802784571</v>
      </c>
    </row>
    <row r="132" spans="1:14">
      <c r="A132" t="s">
        <v>18</v>
      </c>
      <c r="B132" t="s">
        <v>71</v>
      </c>
      <c r="C132">
        <v>2021</v>
      </c>
      <c r="D132">
        <v>6.2</v>
      </c>
      <c r="E132">
        <v>717</v>
      </c>
      <c r="F132">
        <v>656</v>
      </c>
      <c r="G132">
        <v>3.5</v>
      </c>
      <c r="H132" s="4">
        <v>65290</v>
      </c>
      <c r="I132" s="8" t="str" cm="1">
        <f t="array" ref="I132">_xlfn.IFS(H132&lt;50000,"Under $50K", H132&lt;100000,"$50K–$100K",
     H132&lt;200000,"$100K–$200K", H132&lt;500000,"$200K–$500K",
     H132&gt;=500000,"$500K+")</f>
        <v>$50K–$100K</v>
      </c>
      <c r="J132" s="9" t="str">
        <f t="shared" si="10"/>
        <v>2020s</v>
      </c>
      <c r="K132">
        <f t="shared" si="11"/>
        <v>5.4588043588960182E-2</v>
      </c>
      <c r="L132">
        <f t="shared" si="12"/>
        <v>0.3787528868360277</v>
      </c>
      <c r="M132">
        <f t="shared" si="13"/>
        <v>0.63829787234042556</v>
      </c>
      <c r="N132">
        <f t="shared" si="14"/>
        <v>0.35721293425513778</v>
      </c>
    </row>
    <row r="133" spans="1:14">
      <c r="A133" t="s">
        <v>19</v>
      </c>
      <c r="B133" t="s">
        <v>134</v>
      </c>
      <c r="C133">
        <v>2021</v>
      </c>
      <c r="D133">
        <v>3.9</v>
      </c>
      <c r="E133">
        <v>592</v>
      </c>
      <c r="F133">
        <v>560</v>
      </c>
      <c r="G133">
        <v>3.5</v>
      </c>
      <c r="H133" s="4">
        <v>219750</v>
      </c>
      <c r="I133" s="8" t="str" cm="1">
        <f t="array" ref="I133">_xlfn.IFS(H133&lt;50000,"Under $50K", H133&lt;100000,"$50K–$100K",
     H133&lt;200000,"$100K–$200K", H133&lt;500000,"$200K–$500K",
     H133&gt;=500000,"$500K+")</f>
        <v>$200K–$500K</v>
      </c>
      <c r="J133" s="9" t="str">
        <f t="shared" si="10"/>
        <v>2020s</v>
      </c>
      <c r="K133">
        <f t="shared" si="11"/>
        <v>4.1857622975863124E-2</v>
      </c>
      <c r="L133">
        <f t="shared" si="12"/>
        <v>0.32332563510392609</v>
      </c>
      <c r="M133">
        <f t="shared" si="13"/>
        <v>0.63829787234042556</v>
      </c>
      <c r="N133">
        <f t="shared" si="14"/>
        <v>0.33449371014007162</v>
      </c>
    </row>
    <row r="134" spans="1:14">
      <c r="A134" t="s">
        <v>36</v>
      </c>
      <c r="B134" t="s">
        <v>135</v>
      </c>
      <c r="C134">
        <v>2022</v>
      </c>
      <c r="D134">
        <v>4</v>
      </c>
      <c r="E134">
        <v>620</v>
      </c>
      <c r="F134">
        <v>604</v>
      </c>
      <c r="G134">
        <v>2.9</v>
      </c>
      <c r="H134" s="4">
        <v>187700</v>
      </c>
      <c r="I134" s="8" t="str" cm="1">
        <f t="array" ref="I134">_xlfn.IFS(H134&lt;50000,"Under $50K", H134&lt;100000,"$50K–$100K",
     H134&lt;200000,"$100K–$200K", H134&lt;500000,"$200K–$500K",
     H134&gt;=500000,"$500K+")</f>
        <v>$100K–$200K</v>
      </c>
      <c r="J134" s="9" t="str">
        <f t="shared" si="10"/>
        <v>2020s</v>
      </c>
      <c r="K134">
        <f t="shared" si="11"/>
        <v>4.470923719319686E-2</v>
      </c>
      <c r="L134">
        <f t="shared" si="12"/>
        <v>0.34872979214780603</v>
      </c>
      <c r="M134">
        <f t="shared" si="13"/>
        <v>0.76595744680851063</v>
      </c>
      <c r="N134">
        <f t="shared" si="14"/>
        <v>0.38646549204983782</v>
      </c>
    </row>
    <row r="135" spans="1:14">
      <c r="A135" t="s">
        <v>24</v>
      </c>
      <c r="B135" t="s">
        <v>96</v>
      </c>
      <c r="C135">
        <v>2021</v>
      </c>
      <c r="D135">
        <v>4</v>
      </c>
      <c r="E135">
        <v>641</v>
      </c>
      <c r="F135">
        <v>627</v>
      </c>
      <c r="G135">
        <v>3.6</v>
      </c>
      <c r="H135" s="4">
        <v>222004</v>
      </c>
      <c r="I135" s="8" t="str" cm="1">
        <f t="array" ref="I135">_xlfn.IFS(H135&lt;50000,"Under $50K", H135&lt;100000,"$50K–$100K",
     H135&lt;200000,"$100K–$200K", H135&lt;500000,"$200K–$500K",
     H135&gt;=500000,"$500K+")</f>
        <v>$200K–$500K</v>
      </c>
      <c r="J135" s="9" t="str">
        <f t="shared" si="10"/>
        <v>2020s</v>
      </c>
      <c r="K135">
        <f t="shared" si="11"/>
        <v>4.684794785619717E-2</v>
      </c>
      <c r="L135">
        <f t="shared" si="12"/>
        <v>0.36200923787528866</v>
      </c>
      <c r="M135">
        <f t="shared" si="13"/>
        <v>0.61702127659574468</v>
      </c>
      <c r="N135">
        <f t="shared" si="14"/>
        <v>0.34195948744241017</v>
      </c>
    </row>
    <row r="136" spans="1:14">
      <c r="A136" t="s">
        <v>31</v>
      </c>
      <c r="B136" t="s">
        <v>104</v>
      </c>
      <c r="C136">
        <v>2021</v>
      </c>
      <c r="D136">
        <v>4</v>
      </c>
      <c r="E136">
        <v>469</v>
      </c>
      <c r="F136">
        <v>479</v>
      </c>
      <c r="G136">
        <v>3.8</v>
      </c>
      <c r="H136" s="4">
        <v>71350</v>
      </c>
      <c r="I136" s="8" t="str" cm="1">
        <f t="array" ref="I136">_xlfn.IFS(H136&lt;50000,"Under $50K", H136&lt;100000,"$50K–$100K",
     H136&lt;200000,"$100K–$200K", H136&lt;500000,"$200K–$500K",
     H136&gt;=500000,"$500K+")</f>
        <v>$50K–$100K</v>
      </c>
      <c r="J136" s="9" t="str">
        <f t="shared" si="10"/>
        <v>2020s</v>
      </c>
      <c r="K136">
        <f t="shared" si="11"/>
        <v>2.933088909257562E-2</v>
      </c>
      <c r="L136">
        <f t="shared" si="12"/>
        <v>0.27655889145496537</v>
      </c>
      <c r="M136">
        <f t="shared" si="13"/>
        <v>0.57446808510638303</v>
      </c>
      <c r="N136">
        <f t="shared" si="14"/>
        <v>0.29345262188464133</v>
      </c>
    </row>
    <row r="137" spans="1:14">
      <c r="A137" t="s">
        <v>12</v>
      </c>
      <c r="B137" t="s">
        <v>107</v>
      </c>
      <c r="C137">
        <v>2021</v>
      </c>
      <c r="D137">
        <v>4</v>
      </c>
      <c r="E137">
        <v>503</v>
      </c>
      <c r="F137">
        <v>505</v>
      </c>
      <c r="G137">
        <v>3.6</v>
      </c>
      <c r="H137" s="4">
        <v>146000</v>
      </c>
      <c r="I137" s="8" t="str" cm="1">
        <f t="array" ref="I137">_xlfn.IFS(H137&lt;50000,"Under $50K", H137&lt;100000,"$50K–$100K",
     H137&lt;200000,"$100K–$200K", H137&lt;500000,"$200K–$500K",
     H137&gt;=500000,"$500K+")</f>
        <v>$100K–$200K</v>
      </c>
      <c r="J137" s="9" t="str">
        <f t="shared" si="10"/>
        <v>2020s</v>
      </c>
      <c r="K137">
        <f t="shared" si="11"/>
        <v>3.279356349933802E-2</v>
      </c>
      <c r="L137">
        <f t="shared" si="12"/>
        <v>0.29157043879907624</v>
      </c>
      <c r="M137">
        <f t="shared" si="13"/>
        <v>0.61702127659574468</v>
      </c>
      <c r="N137">
        <f t="shared" si="14"/>
        <v>0.31379509296471969</v>
      </c>
    </row>
    <row r="138" spans="1:14">
      <c r="A138" t="s">
        <v>13</v>
      </c>
      <c r="B138" t="s">
        <v>109</v>
      </c>
      <c r="C138">
        <v>2022</v>
      </c>
      <c r="D138">
        <v>3</v>
      </c>
      <c r="E138">
        <v>349</v>
      </c>
      <c r="F138">
        <v>369</v>
      </c>
      <c r="G138">
        <v>4.4000000000000004</v>
      </c>
      <c r="H138" s="4">
        <v>52500</v>
      </c>
      <c r="I138" s="8" t="str" cm="1">
        <f t="array" ref="I138">_xlfn.IFS(H138&lt;50000,"Under $50K", H138&lt;100000,"$50K–$100K",
     H138&lt;200000,"$100K–$200K", H138&lt;500000,"$200K–$500K",
     H138&gt;=500000,"$500K+")</f>
        <v>$50K–$100K</v>
      </c>
      <c r="J138" s="9" t="str">
        <f t="shared" si="10"/>
        <v>2020s</v>
      </c>
      <c r="K138">
        <f t="shared" si="11"/>
        <v>1.7109685304002444E-2</v>
      </c>
      <c r="L138">
        <f t="shared" si="12"/>
        <v>0.21304849884526558</v>
      </c>
      <c r="M138">
        <f t="shared" si="13"/>
        <v>0.44680851063829774</v>
      </c>
      <c r="N138">
        <f t="shared" si="14"/>
        <v>0.22565556492918859</v>
      </c>
    </row>
    <row r="139" spans="1:14">
      <c r="A139" t="s">
        <v>36</v>
      </c>
      <c r="B139" t="s">
        <v>102</v>
      </c>
      <c r="C139">
        <v>2022</v>
      </c>
      <c r="D139">
        <v>2.5</v>
      </c>
      <c r="E139">
        <v>365</v>
      </c>
      <c r="F139">
        <v>309</v>
      </c>
      <c r="G139">
        <v>4.5</v>
      </c>
      <c r="H139" s="4">
        <v>68900</v>
      </c>
      <c r="I139" s="8" t="str" cm="1">
        <f t="array" ref="I139">_xlfn.IFS(H139&lt;50000,"Under $50K", H139&lt;100000,"$50K–$100K",
     H139&lt;200000,"$100K–$200K", H139&lt;500000,"$200K–$500K",
     H139&gt;=500000,"$500K+")</f>
        <v>$50K–$100K</v>
      </c>
      <c r="J139" s="9" t="str">
        <f t="shared" si="10"/>
        <v>2020s</v>
      </c>
      <c r="K139">
        <f t="shared" si="11"/>
        <v>1.8739179142478867E-2</v>
      </c>
      <c r="L139">
        <f t="shared" si="12"/>
        <v>0.17840646651270209</v>
      </c>
      <c r="M139">
        <f t="shared" si="13"/>
        <v>0.42553191489361697</v>
      </c>
      <c r="N139">
        <f t="shared" si="14"/>
        <v>0.20755918684959931</v>
      </c>
    </row>
    <row r="140" spans="1:14">
      <c r="A140" t="s">
        <v>24</v>
      </c>
      <c r="B140" t="s">
        <v>115</v>
      </c>
      <c r="C140">
        <v>2021</v>
      </c>
      <c r="D140">
        <v>6.5</v>
      </c>
      <c r="E140">
        <v>730</v>
      </c>
      <c r="F140">
        <v>507</v>
      </c>
      <c r="G140">
        <v>2.8</v>
      </c>
      <c r="H140" s="4">
        <v>517770</v>
      </c>
      <c r="I140" s="8" t="str" cm="1">
        <f t="array" ref="I140">_xlfn.IFS(H140&lt;50000,"Under $50K", H140&lt;100000,"$50K–$100K",
     H140&lt;200000,"$100K–$200K", H140&lt;500000,"$200K–$500K",
     H140&gt;=500000,"$500K+")</f>
        <v>$500K+</v>
      </c>
      <c r="J140" s="9" t="str">
        <f t="shared" si="10"/>
        <v>2020s</v>
      </c>
      <c r="K140">
        <f t="shared" si="11"/>
        <v>5.5912007332722273E-2</v>
      </c>
      <c r="L140">
        <f t="shared" si="12"/>
        <v>0.29272517321016167</v>
      </c>
      <c r="M140">
        <f t="shared" si="13"/>
        <v>0.78723404255319152</v>
      </c>
      <c r="N140">
        <f t="shared" si="14"/>
        <v>0.37862374103202517</v>
      </c>
    </row>
    <row r="141" spans="1:14">
      <c r="A141" t="s">
        <v>19</v>
      </c>
      <c r="B141" t="s">
        <v>120</v>
      </c>
      <c r="C141">
        <v>2022</v>
      </c>
      <c r="D141">
        <v>3.9</v>
      </c>
      <c r="E141">
        <v>710</v>
      </c>
      <c r="F141">
        <v>568</v>
      </c>
      <c r="G141">
        <v>2.9</v>
      </c>
      <c r="H141" s="4">
        <v>276550</v>
      </c>
      <c r="I141" s="8" t="str" cm="1">
        <f t="array" ref="I141">_xlfn.IFS(H141&lt;50000,"Under $50K", H141&lt;100000,"$50K–$100K",
     H141&lt;200000,"$100K–$200K", H141&lt;500000,"$200K–$500K",
     H141&gt;=500000,"$500K+")</f>
        <v>$200K–$500K</v>
      </c>
      <c r="J141" s="9" t="str">
        <f t="shared" si="10"/>
        <v>2020s</v>
      </c>
      <c r="K141">
        <f t="shared" si="11"/>
        <v>5.3875140034626741E-2</v>
      </c>
      <c r="L141">
        <f t="shared" si="12"/>
        <v>0.32794457274826788</v>
      </c>
      <c r="M141">
        <f t="shared" si="13"/>
        <v>0.76595744680851063</v>
      </c>
      <c r="N141">
        <f t="shared" si="14"/>
        <v>0.3825923865304684</v>
      </c>
    </row>
    <row r="142" spans="1:14">
      <c r="A142" t="s">
        <v>13</v>
      </c>
      <c r="B142" t="s">
        <v>118</v>
      </c>
      <c r="C142">
        <v>2021</v>
      </c>
      <c r="D142">
        <v>2.5</v>
      </c>
      <c r="E142">
        <v>394</v>
      </c>
      <c r="F142">
        <v>354</v>
      </c>
      <c r="G142">
        <v>3.6</v>
      </c>
      <c r="H142" s="4">
        <v>67600</v>
      </c>
      <c r="I142" s="8" t="str" cm="1">
        <f t="array" ref="I142">_xlfn.IFS(H142&lt;50000,"Under $50K", H142&lt;100000,"$50K–$100K",
     H142&lt;200000,"$100K–$200K", H142&lt;500000,"$200K–$500K",
     H142&gt;=500000,"$500K+")</f>
        <v>$50K–$100K</v>
      </c>
      <c r="J142" s="9" t="str">
        <f t="shared" si="10"/>
        <v>2020s</v>
      </c>
      <c r="K142">
        <f t="shared" si="11"/>
        <v>2.1692636724717385E-2</v>
      </c>
      <c r="L142">
        <f t="shared" si="12"/>
        <v>0.20438799076212472</v>
      </c>
      <c r="M142">
        <f t="shared" si="13"/>
        <v>0.61702127659574468</v>
      </c>
      <c r="N142">
        <f t="shared" si="14"/>
        <v>0.28103396802752895</v>
      </c>
    </row>
    <row r="143" spans="1:14">
      <c r="A143" t="s">
        <v>29</v>
      </c>
      <c r="B143" t="s">
        <v>103</v>
      </c>
      <c r="C143">
        <v>2021</v>
      </c>
      <c r="D143">
        <v>3.8</v>
      </c>
      <c r="E143">
        <v>562</v>
      </c>
      <c r="F143">
        <v>443</v>
      </c>
      <c r="G143">
        <v>3.1</v>
      </c>
      <c r="H143" s="4">
        <v>192500</v>
      </c>
      <c r="I143" s="8" t="str" cm="1">
        <f t="array" ref="I143">_xlfn.IFS(H143&lt;50000,"Under $50K", H143&lt;100000,"$50K–$100K",
     H143&lt;200000,"$100K–$200K", H143&lt;500000,"$200K–$500K",
     H143&gt;=500000,"$500K+")</f>
        <v>$100K–$200K</v>
      </c>
      <c r="J143" s="9" t="str">
        <f t="shared" si="10"/>
        <v>2020s</v>
      </c>
      <c r="K143">
        <f t="shared" si="11"/>
        <v>3.8802322028719832E-2</v>
      </c>
      <c r="L143">
        <f t="shared" si="12"/>
        <v>0.25577367205542723</v>
      </c>
      <c r="M143">
        <f t="shared" si="13"/>
        <v>0.72340425531914887</v>
      </c>
      <c r="N143">
        <f t="shared" si="14"/>
        <v>0.33932674980109861</v>
      </c>
    </row>
    <row r="144" spans="1:14">
      <c r="A144" t="s">
        <v>15</v>
      </c>
      <c r="B144" t="s">
        <v>136</v>
      </c>
      <c r="C144">
        <v>2022</v>
      </c>
      <c r="D144">
        <v>3</v>
      </c>
      <c r="E144">
        <v>382</v>
      </c>
      <c r="F144">
        <v>369</v>
      </c>
      <c r="G144">
        <v>3.9</v>
      </c>
      <c r="H144" s="4">
        <v>63700</v>
      </c>
      <c r="I144" s="8" t="str" cm="1">
        <f t="array" ref="I144">_xlfn.IFS(H144&lt;50000,"Under $50K", H144&lt;100000,"$50K–$100K",
     H144&lt;200000,"$100K–$200K", H144&lt;500000,"$200K–$500K",
     H144&gt;=500000,"$500K+")</f>
        <v>$50K–$100K</v>
      </c>
      <c r="J144" s="9" t="str">
        <f t="shared" si="10"/>
        <v>2020s</v>
      </c>
      <c r="K144">
        <f t="shared" si="11"/>
        <v>2.0470516345860067E-2</v>
      </c>
      <c r="L144">
        <f t="shared" si="12"/>
        <v>0.21304849884526558</v>
      </c>
      <c r="M144">
        <f t="shared" si="13"/>
        <v>0.55319148936170226</v>
      </c>
      <c r="N144">
        <f t="shared" si="14"/>
        <v>0.26223683485094262</v>
      </c>
    </row>
    <row r="145" spans="1:14">
      <c r="A145" t="s">
        <v>31</v>
      </c>
      <c r="B145" t="s">
        <v>82</v>
      </c>
      <c r="C145">
        <v>2015</v>
      </c>
      <c r="D145">
        <v>6.2</v>
      </c>
      <c r="E145">
        <v>622</v>
      </c>
      <c r="F145">
        <v>468</v>
      </c>
      <c r="G145">
        <v>3.7</v>
      </c>
      <c r="H145" s="4">
        <v>221580</v>
      </c>
      <c r="I145" s="8" t="str" cm="1">
        <f t="array" ref="I145">_xlfn.IFS(H145&lt;50000,"Under $50K", H145&lt;100000,"$50K–$100K",
     H145&lt;200000,"$100K–$200K", H145&lt;500000,"$200K–$500K",
     H145&gt;=500000,"$500K+")</f>
        <v>$200K–$500K</v>
      </c>
      <c r="J145" s="9" t="str">
        <f t="shared" si="10"/>
        <v>2010s</v>
      </c>
      <c r="K145">
        <f t="shared" si="11"/>
        <v>4.4912923923006415E-2</v>
      </c>
      <c r="L145">
        <f t="shared" si="12"/>
        <v>0.2702078521939954</v>
      </c>
      <c r="M145">
        <f t="shared" si="13"/>
        <v>0.5957446808510638</v>
      </c>
      <c r="N145">
        <f t="shared" si="14"/>
        <v>0.3036218189893552</v>
      </c>
    </row>
    <row r="146" spans="1:14">
      <c r="A146" t="s">
        <v>17</v>
      </c>
      <c r="B146" t="s">
        <v>105</v>
      </c>
      <c r="C146">
        <v>2022</v>
      </c>
      <c r="D146">
        <v>6.2</v>
      </c>
      <c r="E146">
        <v>455</v>
      </c>
      <c r="F146">
        <v>455</v>
      </c>
      <c r="G146">
        <v>4.0999999999999996</v>
      </c>
      <c r="H146" s="4">
        <v>44000</v>
      </c>
      <c r="I146" s="8" t="str" cm="1">
        <f t="array" ref="I146">_xlfn.IFS(H146&lt;50000,"Under $50K", H146&lt;100000,"$50K–$100K",
     H146&lt;200000,"$100K–$200K", H146&lt;500000,"$200K–$500K",
     H146&gt;=500000,"$500K+")</f>
        <v>Under $50K</v>
      </c>
      <c r="J146" s="9" t="str">
        <f t="shared" si="10"/>
        <v>2020s</v>
      </c>
      <c r="K146">
        <f t="shared" si="11"/>
        <v>2.7905081983908748E-2</v>
      </c>
      <c r="L146">
        <f t="shared" si="12"/>
        <v>0.26270207852193994</v>
      </c>
      <c r="M146">
        <f t="shared" si="13"/>
        <v>0.5106382978723405</v>
      </c>
      <c r="N146">
        <f t="shared" si="14"/>
        <v>0.26708181945939641</v>
      </c>
    </row>
    <row r="147" spans="1:14">
      <c r="A147" t="s">
        <v>20</v>
      </c>
      <c r="B147" t="s">
        <v>121</v>
      </c>
      <c r="C147">
        <v>2021</v>
      </c>
      <c r="D147">
        <v>5</v>
      </c>
      <c r="E147">
        <v>480</v>
      </c>
      <c r="F147">
        <v>420</v>
      </c>
      <c r="G147">
        <v>4</v>
      </c>
      <c r="H147" s="4">
        <v>51720</v>
      </c>
      <c r="I147" s="8" t="str" cm="1">
        <f t="array" ref="I147">_xlfn.IFS(H147&lt;50000,"Under $50K", H147&lt;100000,"$50K–$100K",
     H147&lt;200000,"$100K–$200K", H147&lt;500000,"$200K–$500K",
     H147&gt;=500000,"$500K+")</f>
        <v>$50K–$100K</v>
      </c>
      <c r="J147" s="9" t="str">
        <f t="shared" si="10"/>
        <v>2020s</v>
      </c>
      <c r="K147">
        <f t="shared" si="11"/>
        <v>3.045116610652816E-2</v>
      </c>
      <c r="L147">
        <f t="shared" si="12"/>
        <v>0.24249422632794457</v>
      </c>
      <c r="M147">
        <f t="shared" si="13"/>
        <v>0.53191489361702127</v>
      </c>
      <c r="N147">
        <f t="shared" si="14"/>
        <v>0.26828676201716467</v>
      </c>
    </row>
    <row r="148" spans="1:14">
      <c r="A148" t="s">
        <v>32</v>
      </c>
      <c r="B148" t="s">
        <v>93</v>
      </c>
      <c r="C148">
        <v>2021</v>
      </c>
      <c r="D148">
        <v>3.7</v>
      </c>
      <c r="E148">
        <v>350</v>
      </c>
      <c r="F148">
        <v>276</v>
      </c>
      <c r="G148">
        <v>4.9000000000000004</v>
      </c>
      <c r="H148" s="4">
        <v>45790</v>
      </c>
      <c r="I148" s="8" t="str" cm="1">
        <f t="array" ref="I148">_xlfn.IFS(H148&lt;50000,"Under $50K", H148&lt;100000,"$50K–$100K",
     H148&lt;200000,"$100K–$200K", H148&lt;500000,"$200K–$500K",
     H148&gt;=500000,"$500K+")</f>
        <v>Under $50K</v>
      </c>
      <c r="J148" s="9" t="str">
        <f t="shared" si="10"/>
        <v>2020s</v>
      </c>
      <c r="K148">
        <f t="shared" si="11"/>
        <v>1.7211528668907222E-2</v>
      </c>
      <c r="L148">
        <f t="shared" si="12"/>
        <v>0.15935334872979215</v>
      </c>
      <c r="M148">
        <f t="shared" si="13"/>
        <v>0.34042553191489355</v>
      </c>
      <c r="N148">
        <f t="shared" si="14"/>
        <v>0.1723301364378643</v>
      </c>
    </row>
    <row r="149" spans="1:14">
      <c r="A149" t="s">
        <v>36</v>
      </c>
      <c r="B149" t="s">
        <v>108</v>
      </c>
      <c r="C149">
        <v>2022</v>
      </c>
      <c r="D149">
        <v>2.9</v>
      </c>
      <c r="E149">
        <v>325</v>
      </c>
      <c r="F149">
        <v>331</v>
      </c>
      <c r="G149">
        <v>5.4</v>
      </c>
      <c r="H149" s="4">
        <v>88550</v>
      </c>
      <c r="I149" s="8" t="str" cm="1">
        <f t="array" ref="I149">_xlfn.IFS(H149&lt;50000,"Under $50K", H149&lt;100000,"$50K–$100K",
     H149&lt;200000,"$100K–$200K", H149&lt;500000,"$200K–$500K",
     H149&gt;=500000,"$500K+")</f>
        <v>$50K–$100K</v>
      </c>
      <c r="J149" s="9" t="str">
        <f t="shared" si="10"/>
        <v>2020s</v>
      </c>
      <c r="K149">
        <f t="shared" si="11"/>
        <v>1.466544454628781E-2</v>
      </c>
      <c r="L149">
        <f t="shared" si="12"/>
        <v>0.19110854503464203</v>
      </c>
      <c r="M149">
        <f t="shared" si="13"/>
        <v>0.23404255319148926</v>
      </c>
      <c r="N149">
        <f t="shared" si="14"/>
        <v>0.14660551425747304</v>
      </c>
    </row>
    <row r="150" spans="1:14">
      <c r="A150" t="s">
        <v>24</v>
      </c>
      <c r="B150" t="s">
        <v>96</v>
      </c>
      <c r="C150">
        <v>2021</v>
      </c>
      <c r="D150">
        <v>4</v>
      </c>
      <c r="E150">
        <v>641</v>
      </c>
      <c r="F150">
        <v>627</v>
      </c>
      <c r="G150">
        <v>3.5</v>
      </c>
      <c r="H150" s="4">
        <v>218009</v>
      </c>
      <c r="I150" s="8" t="str" cm="1">
        <f t="array" ref="I150">_xlfn.IFS(H150&lt;50000,"Under $50K", H150&lt;100000,"$50K–$100K",
     H150&lt;200000,"$100K–$200K", H150&lt;500000,"$200K–$500K",
     H150&gt;=500000,"$500K+")</f>
        <v>$200K–$500K</v>
      </c>
      <c r="J150" s="9" t="str">
        <f t="shared" si="10"/>
        <v>2020s</v>
      </c>
      <c r="K150">
        <f t="shared" si="11"/>
        <v>4.684794785619717E-2</v>
      </c>
      <c r="L150">
        <f t="shared" si="12"/>
        <v>0.36200923787528866</v>
      </c>
      <c r="M150">
        <f t="shared" si="13"/>
        <v>0.63829787234042556</v>
      </c>
      <c r="N150">
        <f t="shared" si="14"/>
        <v>0.34905168602397046</v>
      </c>
    </row>
    <row r="151" spans="1:14">
      <c r="A151" t="s">
        <v>19</v>
      </c>
      <c r="B151" t="s">
        <v>97</v>
      </c>
      <c r="C151">
        <v>2021</v>
      </c>
      <c r="D151">
        <v>3.9</v>
      </c>
      <c r="E151">
        <v>612</v>
      </c>
      <c r="F151">
        <v>561</v>
      </c>
      <c r="G151">
        <v>3.3</v>
      </c>
      <c r="H151" s="4">
        <v>222620</v>
      </c>
      <c r="I151" s="8" t="str" cm="1">
        <f t="array" ref="I151">_xlfn.IFS(H151&lt;50000,"Under $50K", H151&lt;100000,"$50K–$100K",
     H151&lt;200000,"$100K–$200K", H151&lt;500000,"$200K–$500K",
     H151&gt;=500000,"$500K+")</f>
        <v>$200K–$500K</v>
      </c>
      <c r="J151" s="9" t="str">
        <f t="shared" si="10"/>
        <v>2020s</v>
      </c>
      <c r="K151">
        <f t="shared" si="11"/>
        <v>4.3894490273958649E-2</v>
      </c>
      <c r="L151">
        <f t="shared" si="12"/>
        <v>0.32390300230946883</v>
      </c>
      <c r="M151">
        <f t="shared" si="13"/>
        <v>0.68085106382978733</v>
      </c>
      <c r="N151">
        <f t="shared" si="14"/>
        <v>0.34954951880440494</v>
      </c>
    </row>
    <row r="152" spans="1:14">
      <c r="A152" t="s">
        <v>13</v>
      </c>
      <c r="B152" t="s">
        <v>137</v>
      </c>
      <c r="C152">
        <v>2022</v>
      </c>
      <c r="D152">
        <v>2.5</v>
      </c>
      <c r="E152">
        <v>401</v>
      </c>
      <c r="F152">
        <v>369</v>
      </c>
      <c r="G152">
        <v>3.6</v>
      </c>
      <c r="H152" s="4">
        <v>56200</v>
      </c>
      <c r="I152" s="8" t="str" cm="1">
        <f t="array" ref="I152">_xlfn.IFS(H152&lt;50000,"Under $50K", H152&lt;100000,"$50K–$100K",
     H152&lt;200000,"$100K–$200K", H152&lt;500000,"$200K–$500K",
     H152&gt;=500000,"$500K+")</f>
        <v>$50K–$100K</v>
      </c>
      <c r="J152" s="9" t="str">
        <f t="shared" si="10"/>
        <v>2020s</v>
      </c>
      <c r="K152">
        <f t="shared" si="11"/>
        <v>2.2405540279050819E-2</v>
      </c>
      <c r="L152">
        <f t="shared" si="12"/>
        <v>0.21304849884526558</v>
      </c>
      <c r="M152">
        <f t="shared" si="13"/>
        <v>0.61702127659574468</v>
      </c>
      <c r="N152">
        <f t="shared" si="14"/>
        <v>0.28415843857335371</v>
      </c>
    </row>
    <row r="153" spans="1:14">
      <c r="A153" t="s">
        <v>29</v>
      </c>
      <c r="B153" t="s">
        <v>92</v>
      </c>
      <c r="C153">
        <v>2021</v>
      </c>
      <c r="D153">
        <v>4</v>
      </c>
      <c r="E153">
        <v>612</v>
      </c>
      <c r="F153">
        <v>465</v>
      </c>
      <c r="G153">
        <v>3.2</v>
      </c>
      <c r="H153" s="4">
        <v>200000</v>
      </c>
      <c r="I153" s="8" t="str" cm="1">
        <f t="array" ref="I153">_xlfn.IFS(H153&lt;50000,"Under $50K", H153&lt;100000,"$50K–$100K",
     H153&lt;200000,"$100K–$200K", H153&lt;500000,"$200K–$500K",
     H153&gt;=500000,"$500K+")</f>
        <v>$200K–$500K</v>
      </c>
      <c r="J153" s="9" t="str">
        <f t="shared" si="10"/>
        <v>2020s</v>
      </c>
      <c r="K153">
        <f t="shared" si="11"/>
        <v>4.3894490273958649E-2</v>
      </c>
      <c r="L153">
        <f t="shared" si="12"/>
        <v>0.26847575057736722</v>
      </c>
      <c r="M153">
        <f t="shared" si="13"/>
        <v>0.7021276595744681</v>
      </c>
      <c r="N153">
        <f t="shared" si="14"/>
        <v>0.33816596680859795</v>
      </c>
    </row>
    <row r="154" spans="1:14">
      <c r="A154" t="s">
        <v>15</v>
      </c>
      <c r="B154" t="s">
        <v>138</v>
      </c>
      <c r="C154">
        <v>2022</v>
      </c>
      <c r="D154">
        <v>3</v>
      </c>
      <c r="E154">
        <v>444</v>
      </c>
      <c r="F154">
        <v>406</v>
      </c>
      <c r="G154">
        <v>3.8</v>
      </c>
      <c r="H154" s="4">
        <v>84595</v>
      </c>
      <c r="I154" s="8" t="str" cm="1">
        <f t="array" ref="I154">_xlfn.IFS(H154&lt;50000,"Under $50K", H154&lt;100000,"$50K–$100K",
     H154&lt;200000,"$100K–$200K", H154&lt;500000,"$200K–$500K",
     H154&gt;=500000,"$500K+")</f>
        <v>$50K–$100K</v>
      </c>
      <c r="J154" s="9" t="str">
        <f t="shared" si="10"/>
        <v>2020s</v>
      </c>
      <c r="K154">
        <f t="shared" si="11"/>
        <v>2.6784804969956208E-2</v>
      </c>
      <c r="L154">
        <f t="shared" si="12"/>
        <v>0.23441108545034642</v>
      </c>
      <c r="M154">
        <f t="shared" si="13"/>
        <v>0.57446808510638303</v>
      </c>
      <c r="N154">
        <f t="shared" si="14"/>
        <v>0.27855465850889521</v>
      </c>
    </row>
    <row r="155" spans="1:14">
      <c r="A155" t="s">
        <v>31</v>
      </c>
      <c r="B155" t="s">
        <v>104</v>
      </c>
      <c r="C155">
        <v>2021</v>
      </c>
      <c r="D155">
        <v>4</v>
      </c>
      <c r="E155">
        <v>503</v>
      </c>
      <c r="F155">
        <v>516</v>
      </c>
      <c r="G155">
        <v>3.8</v>
      </c>
      <c r="H155" s="4">
        <v>77500</v>
      </c>
      <c r="I155" s="8" t="str" cm="1">
        <f t="array" ref="I155">_xlfn.IFS(H155&lt;50000,"Under $50K", H155&lt;100000,"$50K–$100K",
     H155&lt;200000,"$100K–$200K", H155&lt;500000,"$200K–$500K",
     H155&gt;=500000,"$500K+")</f>
        <v>$50K–$100K</v>
      </c>
      <c r="J155" s="9" t="str">
        <f t="shared" si="10"/>
        <v>2020s</v>
      </c>
      <c r="K155">
        <f t="shared" si="11"/>
        <v>3.279356349933802E-2</v>
      </c>
      <c r="L155">
        <f t="shared" si="12"/>
        <v>0.29792147806004621</v>
      </c>
      <c r="M155">
        <f t="shared" si="13"/>
        <v>0.57446808510638303</v>
      </c>
      <c r="N155">
        <f t="shared" si="14"/>
        <v>0.30172770888858907</v>
      </c>
    </row>
    <row r="156" spans="1:14">
      <c r="A156" t="s">
        <v>17</v>
      </c>
      <c r="B156" t="s">
        <v>91</v>
      </c>
      <c r="C156">
        <v>2021</v>
      </c>
      <c r="D156">
        <v>6.2</v>
      </c>
      <c r="E156">
        <v>650</v>
      </c>
      <c r="F156">
        <v>650</v>
      </c>
      <c r="G156">
        <v>3.5</v>
      </c>
      <c r="H156" s="4">
        <v>62500</v>
      </c>
      <c r="I156" s="8" t="str" cm="1">
        <f t="array" ref="I156">_xlfn.IFS(H156&lt;50000,"Under $50K", H156&lt;100000,"$50K–$100K",
     H156&lt;200000,"$100K–$200K", H156&lt;500000,"$200K–$500K",
     H156&gt;=500000,"$500K+")</f>
        <v>$50K–$100K</v>
      </c>
      <c r="J156" s="9" t="str">
        <f t="shared" si="10"/>
        <v>2020s</v>
      </c>
      <c r="K156">
        <f t="shared" si="11"/>
        <v>4.7764538140340158E-2</v>
      </c>
      <c r="L156">
        <f t="shared" si="12"/>
        <v>0.37528868360277134</v>
      </c>
      <c r="M156">
        <f t="shared" si="13"/>
        <v>0.63829787234042556</v>
      </c>
      <c r="N156">
        <f t="shared" si="14"/>
        <v>0.35378369802784571</v>
      </c>
    </row>
    <row r="157" spans="1:14">
      <c r="A157" t="s">
        <v>8</v>
      </c>
      <c r="B157" t="s">
        <v>123</v>
      </c>
      <c r="C157">
        <v>2021</v>
      </c>
      <c r="D157">
        <v>3.5</v>
      </c>
      <c r="E157">
        <v>573</v>
      </c>
      <c r="F157">
        <v>476</v>
      </c>
      <c r="G157">
        <v>2.7</v>
      </c>
      <c r="H157" s="4">
        <v>157500</v>
      </c>
      <c r="I157" s="8" t="str" cm="1">
        <f t="array" ref="I157">_xlfn.IFS(H157&lt;50000,"Under $50K", H157&lt;100000,"$50K–$100K",
     H157&lt;200000,"$100K–$200K", H157&lt;500000,"$200K–$500K",
     H157&gt;=500000,"$500K+")</f>
        <v>$100K–$200K</v>
      </c>
      <c r="J157" s="9" t="str">
        <f t="shared" si="10"/>
        <v>2020s</v>
      </c>
      <c r="K157">
        <f t="shared" si="11"/>
        <v>3.9922599042672369E-2</v>
      </c>
      <c r="L157">
        <f t="shared" si="12"/>
        <v>0.27482678983833719</v>
      </c>
      <c r="M157">
        <f t="shared" si="13"/>
        <v>0.80851063829787229</v>
      </c>
      <c r="N157">
        <f t="shared" si="14"/>
        <v>0.3744200090596273</v>
      </c>
    </row>
    <row r="158" spans="1:14">
      <c r="A158" t="s">
        <v>12</v>
      </c>
      <c r="B158" t="s">
        <v>69</v>
      </c>
      <c r="C158">
        <v>2022</v>
      </c>
      <c r="D158">
        <v>4</v>
      </c>
      <c r="E158">
        <v>503</v>
      </c>
      <c r="F158">
        <v>513</v>
      </c>
      <c r="G158">
        <v>3.7</v>
      </c>
      <c r="H158" s="4">
        <v>204100</v>
      </c>
      <c r="I158" s="8" t="str" cm="1">
        <f t="array" ref="I158">_xlfn.IFS(H158&lt;50000,"Under $50K", H158&lt;100000,"$50K–$100K",
     H158&lt;200000,"$100K–$200K", H158&lt;500000,"$200K–$500K",
     H158&gt;=500000,"$500K+")</f>
        <v>$200K–$500K</v>
      </c>
      <c r="J158" s="9" t="str">
        <f t="shared" si="10"/>
        <v>2020s</v>
      </c>
      <c r="K158">
        <f t="shared" si="11"/>
        <v>3.279356349933802E-2</v>
      </c>
      <c r="L158">
        <f t="shared" si="12"/>
        <v>0.29618937644341803</v>
      </c>
      <c r="M158">
        <f t="shared" si="13"/>
        <v>0.5957446808510638</v>
      </c>
      <c r="N158">
        <f t="shared" si="14"/>
        <v>0.30824254026460662</v>
      </c>
    </row>
    <row r="159" spans="1:14">
      <c r="A159" t="s">
        <v>14</v>
      </c>
      <c r="B159" t="s">
        <v>80</v>
      </c>
      <c r="C159">
        <v>2021</v>
      </c>
      <c r="D159">
        <v>6</v>
      </c>
      <c r="E159">
        <v>626</v>
      </c>
      <c r="F159">
        <v>664</v>
      </c>
      <c r="G159">
        <v>3.4</v>
      </c>
      <c r="H159" s="4">
        <v>220300</v>
      </c>
      <c r="I159" s="8" t="str" cm="1">
        <f t="array" ref="I159">_xlfn.IFS(H159&lt;50000,"Under $50K", H159&lt;100000,"$50K–$100K",
     H159&lt;200000,"$100K–$200K", H159&lt;500000,"$200K–$500K",
     H159&gt;=500000,"$500K+")</f>
        <v>$200K–$500K</v>
      </c>
      <c r="J159" s="9" t="str">
        <f t="shared" si="10"/>
        <v>2020s</v>
      </c>
      <c r="K159">
        <f t="shared" si="11"/>
        <v>4.5320297382625524E-2</v>
      </c>
      <c r="L159">
        <f t="shared" si="12"/>
        <v>0.38337182448036949</v>
      </c>
      <c r="M159">
        <f t="shared" si="13"/>
        <v>0.65957446808510645</v>
      </c>
      <c r="N159">
        <f t="shared" si="14"/>
        <v>0.3627555299827005</v>
      </c>
    </row>
    <row r="160" spans="1:14">
      <c r="A160" t="s">
        <v>16</v>
      </c>
      <c r="B160" t="s">
        <v>70</v>
      </c>
      <c r="C160">
        <v>2021</v>
      </c>
      <c r="D160">
        <v>8</v>
      </c>
      <c r="E160">
        <v>1500</v>
      </c>
      <c r="F160">
        <v>1180</v>
      </c>
      <c r="G160">
        <v>2.4</v>
      </c>
      <c r="H160" s="4">
        <v>3000000</v>
      </c>
      <c r="I160" s="8" t="str" cm="1">
        <f t="array" ref="I160">_xlfn.IFS(H160&lt;50000,"Under $50K", H160&lt;100000,"$50K–$100K",
     H160&lt;200000,"$100K–$200K", H160&lt;500000,"$200K–$500K",
     H160&gt;=500000,"$500K+")</f>
        <v>$500K+</v>
      </c>
      <c r="J160" s="9" t="str">
        <f t="shared" si="10"/>
        <v>2020s</v>
      </c>
      <c r="K160">
        <f t="shared" si="11"/>
        <v>0.13433139830940014</v>
      </c>
      <c r="L160">
        <f t="shared" si="12"/>
        <v>0.68129330254041576</v>
      </c>
      <c r="M160">
        <f t="shared" si="13"/>
        <v>0.87234042553191493</v>
      </c>
      <c r="N160">
        <f t="shared" si="14"/>
        <v>0.5626550421272436</v>
      </c>
    </row>
    <row r="161" spans="1:14">
      <c r="A161" t="s">
        <v>18</v>
      </c>
      <c r="B161" t="s">
        <v>139</v>
      </c>
      <c r="C161">
        <v>2017</v>
      </c>
      <c r="D161">
        <v>8.4</v>
      </c>
      <c r="E161">
        <v>645</v>
      </c>
      <c r="F161">
        <v>600</v>
      </c>
      <c r="G161">
        <v>3.3</v>
      </c>
      <c r="H161" s="4">
        <v>120000</v>
      </c>
      <c r="I161" s="8" t="str" cm="1">
        <f t="array" ref="I161">_xlfn.IFS(H161&lt;50000,"Under $50K", H161&lt;100000,"$50K–$100K",
     H161&lt;200000,"$100K–$200K", H161&lt;500000,"$200K–$500K",
     H161&gt;=500000,"$500K+")</f>
        <v>$100K–$200K</v>
      </c>
      <c r="J161" s="9" t="str">
        <f t="shared" si="10"/>
        <v>2010s</v>
      </c>
      <c r="K161">
        <f t="shared" si="11"/>
        <v>4.7255321315816272E-2</v>
      </c>
      <c r="L161">
        <f t="shared" si="12"/>
        <v>0.3464203233256351</v>
      </c>
      <c r="M161">
        <f t="shared" si="13"/>
        <v>0.68085106382978733</v>
      </c>
      <c r="N161">
        <f t="shared" si="14"/>
        <v>0.3581755694904129</v>
      </c>
    </row>
    <row r="162" spans="1:14">
      <c r="A162" t="s">
        <v>21</v>
      </c>
      <c r="B162" t="s">
        <v>72</v>
      </c>
      <c r="C162">
        <v>2022</v>
      </c>
      <c r="D162">
        <v>3</v>
      </c>
      <c r="E162">
        <v>380</v>
      </c>
      <c r="F162">
        <v>339</v>
      </c>
      <c r="G162">
        <v>4.9000000000000004</v>
      </c>
      <c r="H162" s="4">
        <v>69900</v>
      </c>
      <c r="I162" s="8" t="str" cm="1">
        <f t="array" ref="I162">_xlfn.IFS(H162&lt;50000,"Under $50K", H162&lt;100000,"$50K–$100K",
     H162&lt;200000,"$100K–$200K", H162&lt;500000,"$200K–$500K",
     H162&gt;=500000,"$500K+")</f>
        <v>$50K–$100K</v>
      </c>
      <c r="J162" s="9" t="str">
        <f t="shared" si="10"/>
        <v>2020s</v>
      </c>
      <c r="K162">
        <f t="shared" si="11"/>
        <v>2.0266829616050513E-2</v>
      </c>
      <c r="L162">
        <f t="shared" si="12"/>
        <v>0.19572748267898382</v>
      </c>
      <c r="M162">
        <f t="shared" si="13"/>
        <v>0.34042553191489355</v>
      </c>
      <c r="N162">
        <f t="shared" si="14"/>
        <v>0.18547328140330929</v>
      </c>
    </row>
    <row r="163" spans="1:14">
      <c r="A163" t="s">
        <v>23</v>
      </c>
      <c r="B163" t="s">
        <v>73</v>
      </c>
      <c r="C163">
        <v>2022</v>
      </c>
      <c r="D163">
        <v>5</v>
      </c>
      <c r="E163">
        <v>1600</v>
      </c>
      <c r="F163">
        <v>1106</v>
      </c>
      <c r="G163">
        <v>2.5</v>
      </c>
      <c r="H163" s="4">
        <v>3000000</v>
      </c>
      <c r="I163" s="8" t="str" cm="1">
        <f t="array" ref="I163">_xlfn.IFS(H163&lt;50000,"Under $50K", H163&lt;100000,"$50K–$100K",
     H163&lt;200000,"$100K–$200K", H163&lt;500000,"$200K–$500K",
     H163&gt;=500000,"$500K+")</f>
        <v>$500K+</v>
      </c>
      <c r="J163" s="9" t="str">
        <f t="shared" si="10"/>
        <v>2020s</v>
      </c>
      <c r="K163">
        <f t="shared" si="11"/>
        <v>0.14451573479987778</v>
      </c>
      <c r="L163">
        <f t="shared" si="12"/>
        <v>0.63856812933025409</v>
      </c>
      <c r="M163">
        <f t="shared" si="13"/>
        <v>0.85106382978723405</v>
      </c>
      <c r="N163">
        <f t="shared" si="14"/>
        <v>0.54471589797245523</v>
      </c>
    </row>
    <row r="164" spans="1:14">
      <c r="A164" t="s">
        <v>25</v>
      </c>
      <c r="B164" t="s">
        <v>74</v>
      </c>
      <c r="C164">
        <v>2022</v>
      </c>
      <c r="D164">
        <v>5</v>
      </c>
      <c r="E164">
        <v>471</v>
      </c>
      <c r="F164">
        <v>398</v>
      </c>
      <c r="G164">
        <v>4.4000000000000004</v>
      </c>
      <c r="H164" s="4">
        <v>92950</v>
      </c>
      <c r="I164" s="8" t="str" cm="1">
        <f t="array" ref="I164">_xlfn.IFS(H164&lt;50000,"Under $50K", H164&lt;100000,"$50K–$100K",
     H164&lt;200000,"$100K–$200K", H164&lt;500000,"$200K–$500K",
     H164&gt;=500000,"$500K+")</f>
        <v>$50K–$100K</v>
      </c>
      <c r="J164" s="9" t="str">
        <f t="shared" si="10"/>
        <v>2020s</v>
      </c>
      <c r="K164">
        <f t="shared" si="11"/>
        <v>2.9534575822385171E-2</v>
      </c>
      <c r="L164">
        <f t="shared" si="12"/>
        <v>0.22979214780600463</v>
      </c>
      <c r="M164">
        <f t="shared" si="13"/>
        <v>0.44680851063829774</v>
      </c>
      <c r="N164">
        <f t="shared" si="14"/>
        <v>0.23537841142222918</v>
      </c>
    </row>
    <row r="165" spans="1:14">
      <c r="A165" t="s">
        <v>26</v>
      </c>
      <c r="B165" t="s">
        <v>75</v>
      </c>
      <c r="C165">
        <v>2021</v>
      </c>
      <c r="D165">
        <v>3.5</v>
      </c>
      <c r="E165">
        <v>416</v>
      </c>
      <c r="F165">
        <v>317</v>
      </c>
      <c r="G165">
        <v>3.8</v>
      </c>
      <c r="H165" s="4">
        <v>105950</v>
      </c>
      <c r="I165" s="8" t="str" cm="1">
        <f t="array" ref="I165">_xlfn.IFS(H165&lt;50000,"Under $50K", H165&lt;100000,"$50K–$100K",
     H165&lt;200000,"$100K–$200K", H165&lt;500000,"$200K–$500K",
     H165&gt;=500000,"$500K+")</f>
        <v>$100K–$200K</v>
      </c>
      <c r="J165" s="9" t="str">
        <f t="shared" si="10"/>
        <v>2020s</v>
      </c>
      <c r="K165">
        <f t="shared" si="11"/>
        <v>2.3933190752622468E-2</v>
      </c>
      <c r="L165">
        <f t="shared" si="12"/>
        <v>0.18302540415704388</v>
      </c>
      <c r="M165">
        <f t="shared" si="13"/>
        <v>0.57446808510638303</v>
      </c>
      <c r="N165">
        <f t="shared" si="14"/>
        <v>0.26047556000534983</v>
      </c>
    </row>
    <row r="166" spans="1:14">
      <c r="A166" t="s">
        <v>27</v>
      </c>
      <c r="B166" t="s">
        <v>76</v>
      </c>
      <c r="C166">
        <v>2020</v>
      </c>
      <c r="D166">
        <v>4.7</v>
      </c>
      <c r="E166">
        <v>454</v>
      </c>
      <c r="F166">
        <v>384</v>
      </c>
      <c r="G166">
        <v>4.8</v>
      </c>
      <c r="H166" s="4">
        <v>150000</v>
      </c>
      <c r="I166" s="8" t="str" cm="1">
        <f t="array" ref="I166">_xlfn.IFS(H166&lt;50000,"Under $50K", H166&lt;100000,"$50K–$100K",
     H166&lt;200000,"$100K–$200K", H166&lt;500000,"$200K–$500K",
     H166&gt;=500000,"$500K+")</f>
        <v>$100K–$200K</v>
      </c>
      <c r="J166" s="9" t="str">
        <f t="shared" si="10"/>
        <v>2020s</v>
      </c>
      <c r="K166">
        <f t="shared" si="11"/>
        <v>2.7803238619003971E-2</v>
      </c>
      <c r="L166">
        <f t="shared" si="12"/>
        <v>0.22170900692840648</v>
      </c>
      <c r="M166">
        <f t="shared" si="13"/>
        <v>0.36170212765957455</v>
      </c>
      <c r="N166">
        <f t="shared" si="14"/>
        <v>0.20373812440232833</v>
      </c>
    </row>
    <row r="167" spans="1:14">
      <c r="A167" t="s">
        <v>29</v>
      </c>
      <c r="B167" t="s">
        <v>103</v>
      </c>
      <c r="C167">
        <v>2020</v>
      </c>
      <c r="D167">
        <v>3.8</v>
      </c>
      <c r="E167">
        <v>562</v>
      </c>
      <c r="F167">
        <v>443</v>
      </c>
      <c r="G167">
        <v>3.1</v>
      </c>
      <c r="H167" s="4">
        <v>204550</v>
      </c>
      <c r="I167" s="8" t="str" cm="1">
        <f t="array" ref="I167">_xlfn.IFS(H167&lt;50000,"Under $50K", H167&lt;100000,"$50K–$100K",
     H167&lt;200000,"$100K–$200K", H167&lt;500000,"$200K–$500K",
     H167&gt;=500000,"$500K+")</f>
        <v>$200K–$500K</v>
      </c>
      <c r="J167" s="9" t="str">
        <f t="shared" si="10"/>
        <v>2020s</v>
      </c>
      <c r="K167">
        <f t="shared" si="11"/>
        <v>3.8802322028719832E-2</v>
      </c>
      <c r="L167">
        <f t="shared" si="12"/>
        <v>0.25577367205542723</v>
      </c>
      <c r="M167">
        <f t="shared" si="13"/>
        <v>0.72340425531914887</v>
      </c>
      <c r="N167">
        <f t="shared" si="14"/>
        <v>0.33932674980109861</v>
      </c>
    </row>
    <row r="168" spans="1:14">
      <c r="A168" t="s">
        <v>33</v>
      </c>
      <c r="B168" t="s">
        <v>83</v>
      </c>
      <c r="C168">
        <v>2020</v>
      </c>
      <c r="D168">
        <v>6</v>
      </c>
      <c r="E168">
        <v>720</v>
      </c>
      <c r="F168">
        <v>738</v>
      </c>
      <c r="G168">
        <v>3</v>
      </c>
      <c r="H168" s="4">
        <v>2700000</v>
      </c>
      <c r="I168" s="8" t="str" cm="1">
        <f t="array" ref="I168">_xlfn.IFS(H168&lt;50000,"Under $50K", H168&lt;100000,"$50K–$100K",
     H168&lt;200000,"$100K–$200K", H168&lt;500000,"$200K–$500K",
     H168&gt;=500000,"$500K+")</f>
        <v>$500K+</v>
      </c>
      <c r="J168" s="9" t="str">
        <f t="shared" si="10"/>
        <v>2020s</v>
      </c>
      <c r="K168">
        <f t="shared" si="11"/>
        <v>5.4893573683674507E-2</v>
      </c>
      <c r="L168">
        <f t="shared" si="12"/>
        <v>0.42609699769053117</v>
      </c>
      <c r="M168">
        <f t="shared" si="13"/>
        <v>0.74468085106382986</v>
      </c>
      <c r="N168">
        <f t="shared" si="14"/>
        <v>0.40855714081267847</v>
      </c>
    </row>
    <row r="169" spans="1:14">
      <c r="A169" t="s">
        <v>36</v>
      </c>
      <c r="B169" t="s">
        <v>86</v>
      </c>
      <c r="C169">
        <v>2022</v>
      </c>
      <c r="D169">
        <v>4</v>
      </c>
      <c r="E169">
        <v>414</v>
      </c>
      <c r="F169">
        <v>309</v>
      </c>
      <c r="G169">
        <v>4.2</v>
      </c>
      <c r="H169" s="4">
        <v>102900</v>
      </c>
      <c r="I169" s="8" t="str" cm="1">
        <f t="array" ref="I169">_xlfn.IFS(H169&lt;50000,"Under $50K", H169&lt;100000,"$50K–$100K",
     H169&lt;200000,"$100K–$200K", H169&lt;500000,"$200K–$500K",
     H169&gt;=500000,"$500K+")</f>
        <v>$100K–$200K</v>
      </c>
      <c r="J169" s="9" t="str">
        <f t="shared" si="10"/>
        <v>2020s</v>
      </c>
      <c r="K169">
        <f t="shared" si="11"/>
        <v>2.3729504022812913E-2</v>
      </c>
      <c r="L169">
        <f t="shared" si="12"/>
        <v>0.17840646651270209</v>
      </c>
      <c r="M169">
        <f t="shared" si="13"/>
        <v>0.4893617021276595</v>
      </c>
      <c r="N169">
        <f t="shared" si="14"/>
        <v>0.23049922422105817</v>
      </c>
    </row>
    <row r="170" spans="1:14">
      <c r="A170" t="s">
        <v>37</v>
      </c>
      <c r="B170" t="s">
        <v>140</v>
      </c>
      <c r="C170">
        <v>2022</v>
      </c>
      <c r="D170" t="s">
        <v>141</v>
      </c>
      <c r="E170">
        <v>1914</v>
      </c>
      <c r="F170">
        <v>1696</v>
      </c>
      <c r="G170">
        <v>1.9</v>
      </c>
      <c r="H170" s="4">
        <v>2400000</v>
      </c>
      <c r="I170" s="8" t="str" cm="1">
        <f t="array" ref="I170">_xlfn.IFS(H170&lt;50000,"Under $50K", H170&lt;100000,"$50K–$100K",
     H170&lt;200000,"$100K–$200K", H170&lt;500000,"$200K–$500K",
     H170&gt;=500000,"$500K+")</f>
        <v>$500K+</v>
      </c>
      <c r="J170" s="9" t="str">
        <f t="shared" si="10"/>
        <v>2020s</v>
      </c>
      <c r="K170">
        <f t="shared" si="11"/>
        <v>0.1764945513799776</v>
      </c>
      <c r="L170">
        <f t="shared" si="12"/>
        <v>0.97921478060046185</v>
      </c>
      <c r="M170">
        <f t="shared" si="13"/>
        <v>0.97872340425531923</v>
      </c>
      <c r="N170">
        <f t="shared" si="14"/>
        <v>0.71147757874525297</v>
      </c>
    </row>
    <row r="171" spans="1:14">
      <c r="A171" t="s">
        <v>38</v>
      </c>
      <c r="B171" t="s">
        <v>126</v>
      </c>
      <c r="C171">
        <v>2021</v>
      </c>
      <c r="D171">
        <v>6.6</v>
      </c>
      <c r="E171">
        <v>624</v>
      </c>
      <c r="F171">
        <v>605</v>
      </c>
      <c r="G171">
        <v>4.3</v>
      </c>
      <c r="H171" s="4">
        <v>330000</v>
      </c>
      <c r="I171" s="8" t="str" cm="1">
        <f t="array" ref="I171">_xlfn.IFS(H171&lt;50000,"Under $50K", H171&lt;100000,"$50K–$100K",
     H171&lt;200000,"$100K–$200K", H171&lt;500000,"$200K–$500K",
     H171&gt;=500000,"$500K+")</f>
        <v>$200K–$500K</v>
      </c>
      <c r="J171" s="9" t="str">
        <f t="shared" si="10"/>
        <v>2020s</v>
      </c>
      <c r="K171">
        <f t="shared" si="11"/>
        <v>4.5116610652815969E-2</v>
      </c>
      <c r="L171">
        <f t="shared" si="12"/>
        <v>0.34930715935334872</v>
      </c>
      <c r="M171">
        <f t="shared" si="13"/>
        <v>0.46808510638297873</v>
      </c>
      <c r="N171">
        <f t="shared" si="14"/>
        <v>0.28750295879638116</v>
      </c>
    </row>
    <row r="172" spans="1:14">
      <c r="A172" t="s">
        <v>39</v>
      </c>
      <c r="B172" t="s">
        <v>142</v>
      </c>
      <c r="C172">
        <v>1965</v>
      </c>
      <c r="D172">
        <v>7</v>
      </c>
      <c r="E172">
        <v>435</v>
      </c>
      <c r="F172">
        <v>440</v>
      </c>
      <c r="G172">
        <v>4.2</v>
      </c>
      <c r="H172" s="4">
        <v>1000000</v>
      </c>
      <c r="I172" s="8" t="str" cm="1">
        <f t="array" ref="I172">_xlfn.IFS(H172&lt;50000,"Under $50K", H172&lt;100000,"$50K–$100K",
     H172&lt;200000,"$100K–$200K", H172&lt;500000,"$200K–$500K",
     H172&gt;=500000,"$500K+")</f>
        <v>$500K+</v>
      </c>
      <c r="J172" s="9" t="str">
        <f t="shared" si="10"/>
        <v>1960s</v>
      </c>
      <c r="K172">
        <f t="shared" si="11"/>
        <v>2.5868214685813219E-2</v>
      </c>
      <c r="L172">
        <f t="shared" si="12"/>
        <v>0.2540415704387991</v>
      </c>
      <c r="M172">
        <f t="shared" si="13"/>
        <v>0.4893617021276595</v>
      </c>
      <c r="N172">
        <f t="shared" si="14"/>
        <v>0.25642382908409062</v>
      </c>
    </row>
    <row r="173" spans="1:14">
      <c r="A173" t="s">
        <v>41</v>
      </c>
      <c r="B173" t="s">
        <v>143</v>
      </c>
      <c r="C173">
        <v>2021</v>
      </c>
      <c r="D173" t="s">
        <v>141</v>
      </c>
      <c r="E173">
        <v>1020</v>
      </c>
      <c r="F173">
        <v>1050</v>
      </c>
      <c r="G173">
        <v>1.98</v>
      </c>
      <c r="H173" s="4">
        <v>131190</v>
      </c>
      <c r="I173" s="8" t="str" cm="1">
        <f t="array" ref="I173">_xlfn.IFS(H173&lt;50000,"Under $50K", H173&lt;100000,"$50K–$100K",
     H173&lt;200000,"$100K–$200K", H173&lt;500000,"$200K–$500K",
     H173&gt;=500000,"$500K+")</f>
        <v>$100K–$200K</v>
      </c>
      <c r="J173" s="9" t="str">
        <f t="shared" si="10"/>
        <v>2020s</v>
      </c>
      <c r="K173">
        <f t="shared" si="11"/>
        <v>8.5446583155107447E-2</v>
      </c>
      <c r="L173">
        <f t="shared" si="12"/>
        <v>0.60623556581986138</v>
      </c>
      <c r="M173">
        <f t="shared" si="13"/>
        <v>0.96170212765957452</v>
      </c>
      <c r="N173">
        <f t="shared" si="14"/>
        <v>0.55112809221151438</v>
      </c>
    </row>
    <row r="174" spans="1:14">
      <c r="A174" t="s">
        <v>42</v>
      </c>
      <c r="B174" t="s">
        <v>144</v>
      </c>
      <c r="C174">
        <v>2022</v>
      </c>
      <c r="D174">
        <v>3</v>
      </c>
      <c r="E174">
        <v>382</v>
      </c>
      <c r="F174">
        <v>368</v>
      </c>
      <c r="G174">
        <v>3.9</v>
      </c>
      <c r="H174" s="4">
        <v>43090</v>
      </c>
      <c r="I174" s="8" t="str" cm="1">
        <f t="array" ref="I174">_xlfn.IFS(H174&lt;50000,"Under $50K", H174&lt;100000,"$50K–$100K",
     H174&lt;200000,"$100K–$200K", H174&lt;500000,"$200K–$500K",
     H174&gt;=500000,"$500K+")</f>
        <v>Under $50K</v>
      </c>
      <c r="J174" s="9" t="str">
        <f t="shared" si="10"/>
        <v>2020s</v>
      </c>
      <c r="K174">
        <f t="shared" si="11"/>
        <v>2.0470516345860067E-2</v>
      </c>
      <c r="L174">
        <f t="shared" si="12"/>
        <v>0.21247113163972287</v>
      </c>
      <c r="M174">
        <f t="shared" si="13"/>
        <v>0.55319148936170226</v>
      </c>
      <c r="N174">
        <f t="shared" si="14"/>
        <v>0.26204437911576173</v>
      </c>
    </row>
    <row r="175" spans="1:14">
      <c r="A175" t="s">
        <v>43</v>
      </c>
      <c r="B175" t="s">
        <v>145</v>
      </c>
      <c r="C175">
        <v>2022</v>
      </c>
      <c r="D175">
        <v>5</v>
      </c>
      <c r="E175">
        <v>500</v>
      </c>
      <c r="F175">
        <v>479</v>
      </c>
      <c r="G175">
        <v>3.8</v>
      </c>
      <c r="H175" s="4">
        <v>123500</v>
      </c>
      <c r="I175" s="8" t="str" cm="1">
        <f t="array" ref="I175">_xlfn.IFS(H175&lt;50000,"Under $50K", H175&lt;100000,"$50K–$100K",
     H175&lt;200000,"$100K–$200K", H175&lt;500000,"$200K–$500K",
     H175&gt;=500000,"$500K+")</f>
        <v>$100K–$200K</v>
      </c>
      <c r="J175" s="9" t="str">
        <f t="shared" si="10"/>
        <v>2020s</v>
      </c>
      <c r="K175">
        <f t="shared" si="11"/>
        <v>3.2488033404623688E-2</v>
      </c>
      <c r="L175">
        <f t="shared" si="12"/>
        <v>0.27655889145496537</v>
      </c>
      <c r="M175">
        <f t="shared" si="13"/>
        <v>0.57446808510638303</v>
      </c>
      <c r="N175">
        <f t="shared" si="14"/>
        <v>0.2945050033219907</v>
      </c>
    </row>
    <row r="176" spans="1:14">
      <c r="A176" t="s">
        <v>45</v>
      </c>
      <c r="B176" t="s">
        <v>146</v>
      </c>
      <c r="C176">
        <v>2015</v>
      </c>
      <c r="D176">
        <v>3.7</v>
      </c>
      <c r="E176">
        <v>780</v>
      </c>
      <c r="F176">
        <v>708</v>
      </c>
      <c r="G176">
        <v>2.8</v>
      </c>
      <c r="H176" s="4">
        <v>3400000</v>
      </c>
      <c r="I176" s="8" t="str" cm="1">
        <f t="array" ref="I176">_xlfn.IFS(H176&lt;50000,"Under $50K", H176&lt;100000,"$50K–$100K",
     H176&lt;200000,"$100K–$200K", H176&lt;500000,"$200K–$500K",
     H176&gt;=500000,"$500K+")</f>
        <v>$500K+</v>
      </c>
      <c r="J176" s="9" t="str">
        <f t="shared" si="10"/>
        <v>2010s</v>
      </c>
      <c r="K176">
        <f t="shared" si="11"/>
        <v>6.1004175577961096E-2</v>
      </c>
      <c r="L176">
        <f t="shared" si="12"/>
        <v>0.40877598152424943</v>
      </c>
      <c r="M176">
        <f t="shared" si="13"/>
        <v>0.78723404255319152</v>
      </c>
      <c r="N176">
        <f t="shared" si="14"/>
        <v>0.41900473321846737</v>
      </c>
    </row>
    <row r="177" spans="1:14">
      <c r="A177" t="s">
        <v>36</v>
      </c>
      <c r="B177" t="s">
        <v>122</v>
      </c>
      <c r="C177">
        <v>2021</v>
      </c>
      <c r="D177">
        <v>2</v>
      </c>
      <c r="E177">
        <v>300</v>
      </c>
      <c r="F177">
        <v>280</v>
      </c>
      <c r="G177">
        <v>4.5</v>
      </c>
      <c r="H177" s="4">
        <v>61500</v>
      </c>
      <c r="I177" s="8" t="str" cm="1">
        <f t="array" ref="I177">_xlfn.IFS(H177&lt;50000,"Under $50K", H177&lt;100000,"$50K–$100K",
     H177&lt;200000,"$100K–$200K", H177&lt;500000,"$200K–$500K",
     H177&gt;=500000,"$500K+")</f>
        <v>$50K–$100K</v>
      </c>
      <c r="J177" s="9" t="str">
        <f t="shared" si="10"/>
        <v>2020s</v>
      </c>
      <c r="K177">
        <f t="shared" si="11"/>
        <v>1.2119360423668398E-2</v>
      </c>
      <c r="L177">
        <f t="shared" si="12"/>
        <v>0.16166281755196305</v>
      </c>
      <c r="M177">
        <f t="shared" si="13"/>
        <v>0.42553191489361697</v>
      </c>
      <c r="N177">
        <f t="shared" si="14"/>
        <v>0.19977136428974948</v>
      </c>
    </row>
    <row r="178" spans="1:14">
      <c r="A178" t="s">
        <v>24</v>
      </c>
      <c r="B178" t="s">
        <v>87</v>
      </c>
      <c r="C178">
        <v>2021</v>
      </c>
      <c r="D178">
        <v>6.5</v>
      </c>
      <c r="E178">
        <v>770</v>
      </c>
      <c r="F178">
        <v>531</v>
      </c>
      <c r="G178">
        <v>2.8</v>
      </c>
      <c r="H178" s="4">
        <v>518000</v>
      </c>
      <c r="I178" s="8" t="str" cm="1">
        <f t="array" ref="I178">_xlfn.IFS(H178&lt;50000,"Under $50K", H178&lt;100000,"$50K–$100K",
     H178&lt;200000,"$100K–$200K", H178&lt;500000,"$200K–$500K",
     H178&gt;=500000,"$500K+")</f>
        <v>$500K+</v>
      </c>
      <c r="J178" s="9" t="str">
        <f t="shared" si="10"/>
        <v>2020s</v>
      </c>
      <c r="K178">
        <f t="shared" si="11"/>
        <v>5.998574192891333E-2</v>
      </c>
      <c r="L178">
        <f t="shared" si="12"/>
        <v>0.30658198614318705</v>
      </c>
      <c r="M178">
        <f t="shared" si="13"/>
        <v>0.78723404255319152</v>
      </c>
      <c r="N178">
        <f t="shared" si="14"/>
        <v>0.38460059020843063</v>
      </c>
    </row>
    <row r="179" spans="1:14">
      <c r="A179" t="s">
        <v>19</v>
      </c>
      <c r="B179" t="s">
        <v>88</v>
      </c>
      <c r="C179">
        <v>2022</v>
      </c>
      <c r="D179">
        <v>4</v>
      </c>
      <c r="E179">
        <v>986</v>
      </c>
      <c r="F179">
        <v>590</v>
      </c>
      <c r="G179">
        <v>2.5</v>
      </c>
      <c r="H179" s="4">
        <v>507000</v>
      </c>
      <c r="I179" s="8" t="str" cm="1">
        <f t="array" ref="I179">_xlfn.IFS(H179&lt;50000,"Under $50K", H179&lt;100000,"$50K–$100K",
     H179&lt;200000,"$100K–$200K", H179&lt;500000,"$200K–$500K",
     H179&gt;=500000,"$500K+")</f>
        <v>$500K+</v>
      </c>
      <c r="J179" s="9" t="str">
        <f t="shared" si="10"/>
        <v>2020s</v>
      </c>
      <c r="K179">
        <f t="shared" si="11"/>
        <v>8.1983908748345047E-2</v>
      </c>
      <c r="L179">
        <f t="shared" si="12"/>
        <v>0.34064665127020788</v>
      </c>
      <c r="M179">
        <f t="shared" si="13"/>
        <v>0.85106382978723405</v>
      </c>
      <c r="N179">
        <f t="shared" si="14"/>
        <v>0.42456479660192903</v>
      </c>
    </row>
    <row r="180" spans="1:14">
      <c r="A180" t="s">
        <v>13</v>
      </c>
      <c r="B180" t="s">
        <v>147</v>
      </c>
      <c r="C180">
        <v>2021</v>
      </c>
      <c r="D180">
        <v>4</v>
      </c>
      <c r="E180">
        <v>591</v>
      </c>
      <c r="F180">
        <v>590</v>
      </c>
      <c r="G180">
        <v>3.5</v>
      </c>
      <c r="H180" s="4">
        <v>109000</v>
      </c>
      <c r="I180" s="8" t="str" cm="1">
        <f t="array" ref="I180">_xlfn.IFS(H180&lt;50000,"Under $50K", H180&lt;100000,"$50K–$100K",
     H180&lt;200000,"$100K–$200K", H180&lt;500000,"$200K–$500K",
     H180&gt;=500000,"$500K+")</f>
        <v>$100K–$200K</v>
      </c>
      <c r="J180" s="9" t="str">
        <f t="shared" si="10"/>
        <v>2020s</v>
      </c>
      <c r="K180">
        <f t="shared" si="11"/>
        <v>4.1755779610958346E-2</v>
      </c>
      <c r="L180">
        <f t="shared" si="12"/>
        <v>0.34064665127020788</v>
      </c>
      <c r="M180">
        <f t="shared" si="13"/>
        <v>0.63829787234042556</v>
      </c>
      <c r="N180">
        <f t="shared" si="14"/>
        <v>0.34023343440719728</v>
      </c>
    </row>
    <row r="181" spans="1:14">
      <c r="A181" t="s">
        <v>29</v>
      </c>
      <c r="B181" t="s">
        <v>92</v>
      </c>
      <c r="C181">
        <v>2021</v>
      </c>
      <c r="D181">
        <v>4</v>
      </c>
      <c r="E181">
        <v>612</v>
      </c>
      <c r="F181">
        <v>465</v>
      </c>
      <c r="G181">
        <v>3.1</v>
      </c>
      <c r="H181" s="4">
        <v>210000</v>
      </c>
      <c r="I181" s="8" t="str" cm="1">
        <f t="array" ref="I181">_xlfn.IFS(H181&lt;50000,"Under $50K", H181&lt;100000,"$50K–$100K",
     H181&lt;200000,"$100K–$200K", H181&lt;500000,"$200K–$500K",
     H181&gt;=500000,"$500K+")</f>
        <v>$200K–$500K</v>
      </c>
      <c r="J181" s="9" t="str">
        <f t="shared" si="10"/>
        <v>2020s</v>
      </c>
      <c r="K181">
        <f t="shared" si="11"/>
        <v>4.3894490273958649E-2</v>
      </c>
      <c r="L181">
        <f t="shared" si="12"/>
        <v>0.26847575057736722</v>
      </c>
      <c r="M181">
        <f t="shared" si="13"/>
        <v>0.72340425531914887</v>
      </c>
      <c r="N181">
        <f t="shared" si="14"/>
        <v>0.34525816539015824</v>
      </c>
    </row>
    <row r="182" spans="1:14">
      <c r="A182" t="s">
        <v>15</v>
      </c>
      <c r="B182" t="s">
        <v>138</v>
      </c>
      <c r="C182">
        <v>2022</v>
      </c>
      <c r="D182">
        <v>3</v>
      </c>
      <c r="E182">
        <v>444</v>
      </c>
      <c r="F182">
        <v>406</v>
      </c>
      <c r="G182">
        <v>3.8</v>
      </c>
      <c r="H182" s="4">
        <v>84595</v>
      </c>
      <c r="I182" s="8" t="str" cm="1">
        <f t="array" ref="I182">_xlfn.IFS(H182&lt;50000,"Under $50K", H182&lt;100000,"$50K–$100K",
     H182&lt;200000,"$100K–$200K", H182&lt;500000,"$200K–$500K",
     H182&gt;=500000,"$500K+")</f>
        <v>$50K–$100K</v>
      </c>
      <c r="J182" s="9" t="str">
        <f t="shared" si="10"/>
        <v>2020s</v>
      </c>
      <c r="K182">
        <f t="shared" si="11"/>
        <v>2.6784804969956208E-2</v>
      </c>
      <c r="L182">
        <f t="shared" si="12"/>
        <v>0.23441108545034642</v>
      </c>
      <c r="M182">
        <f t="shared" si="13"/>
        <v>0.57446808510638303</v>
      </c>
      <c r="N182">
        <f t="shared" si="14"/>
        <v>0.27855465850889521</v>
      </c>
    </row>
    <row r="183" spans="1:14">
      <c r="A183" t="s">
        <v>31</v>
      </c>
      <c r="B183" t="s">
        <v>82</v>
      </c>
      <c r="C183">
        <v>2015</v>
      </c>
      <c r="D183">
        <v>6.2</v>
      </c>
      <c r="E183">
        <v>622</v>
      </c>
      <c r="F183">
        <v>468</v>
      </c>
      <c r="G183">
        <v>3.6</v>
      </c>
      <c r="H183" s="4">
        <v>228000</v>
      </c>
      <c r="I183" s="8" t="str" cm="1">
        <f t="array" ref="I183">_xlfn.IFS(H183&lt;50000,"Under $50K", H183&lt;100000,"$50K–$100K",
     H183&lt;200000,"$100K–$200K", H183&lt;500000,"$200K–$500K",
     H183&gt;=500000,"$500K+")</f>
        <v>$200K–$500K</v>
      </c>
      <c r="J183" s="9" t="str">
        <f t="shared" si="10"/>
        <v>2010s</v>
      </c>
      <c r="K183">
        <f t="shared" si="11"/>
        <v>4.4912923923006415E-2</v>
      </c>
      <c r="L183">
        <f t="shared" si="12"/>
        <v>0.2702078521939954</v>
      </c>
      <c r="M183">
        <f t="shared" si="13"/>
        <v>0.61702127659574468</v>
      </c>
      <c r="N183">
        <f t="shared" si="14"/>
        <v>0.31071401757091549</v>
      </c>
    </row>
    <row r="184" spans="1:14">
      <c r="A184" t="s">
        <v>17</v>
      </c>
      <c r="B184" t="s">
        <v>105</v>
      </c>
      <c r="C184">
        <v>2021</v>
      </c>
      <c r="D184">
        <v>6.2</v>
      </c>
      <c r="E184">
        <v>455</v>
      </c>
      <c r="F184">
        <v>455</v>
      </c>
      <c r="G184">
        <v>4</v>
      </c>
      <c r="H184" s="4">
        <v>42000</v>
      </c>
      <c r="I184" s="8" t="str" cm="1">
        <f t="array" ref="I184">_xlfn.IFS(H184&lt;50000,"Under $50K", H184&lt;100000,"$50K–$100K",
     H184&lt;200000,"$100K–$200K", H184&lt;500000,"$200K–$500K",
     H184&gt;=500000,"$500K+")</f>
        <v>Under $50K</v>
      </c>
      <c r="J184" s="9" t="str">
        <f t="shared" si="10"/>
        <v>2020s</v>
      </c>
      <c r="K184">
        <f t="shared" si="11"/>
        <v>2.7905081983908748E-2</v>
      </c>
      <c r="L184">
        <f t="shared" si="12"/>
        <v>0.26270207852193994</v>
      </c>
      <c r="M184">
        <f t="shared" si="13"/>
        <v>0.53191489361702127</v>
      </c>
      <c r="N184">
        <f t="shared" si="14"/>
        <v>0.27417401804095665</v>
      </c>
    </row>
    <row r="185" spans="1:14">
      <c r="A185" t="s">
        <v>20</v>
      </c>
      <c r="B185" t="s">
        <v>92</v>
      </c>
      <c r="C185">
        <v>2022</v>
      </c>
      <c r="D185">
        <v>3.5</v>
      </c>
      <c r="E185">
        <v>660</v>
      </c>
      <c r="F185">
        <v>550</v>
      </c>
      <c r="G185">
        <v>2.8</v>
      </c>
      <c r="H185" s="4">
        <v>500000</v>
      </c>
      <c r="I185" s="8" t="str" cm="1">
        <f t="array" ref="I185">_xlfn.IFS(H185&lt;50000,"Under $50K", H185&lt;100000,"$50K–$100K",
     H185&lt;200000,"$100K–$200K", H185&lt;500000,"$200K–$500K",
     H185&gt;=500000,"$500K+")</f>
        <v>$500K+</v>
      </c>
      <c r="J185" s="9" t="str">
        <f t="shared" si="10"/>
        <v>2020s</v>
      </c>
      <c r="K185">
        <f t="shared" si="11"/>
        <v>4.8782971789387924E-2</v>
      </c>
      <c r="L185">
        <f t="shared" si="12"/>
        <v>0.31755196304849886</v>
      </c>
      <c r="M185">
        <f t="shared" si="13"/>
        <v>0.78723404255319152</v>
      </c>
      <c r="N185">
        <f t="shared" si="14"/>
        <v>0.38452299246369276</v>
      </c>
    </row>
    <row r="186" spans="1:14">
      <c r="A186" t="s">
        <v>32</v>
      </c>
      <c r="B186" t="s">
        <v>93</v>
      </c>
      <c r="C186">
        <v>2021</v>
      </c>
      <c r="D186">
        <v>3.7</v>
      </c>
      <c r="E186">
        <v>350</v>
      </c>
      <c r="F186">
        <v>276</v>
      </c>
      <c r="G186">
        <v>5</v>
      </c>
      <c r="H186" s="4">
        <v>45000</v>
      </c>
      <c r="I186" s="8" t="str" cm="1">
        <f t="array" ref="I186">_xlfn.IFS(H186&lt;50000,"Under $50K", H186&lt;100000,"$50K–$100K",
     H186&lt;200000,"$100K–$200K", H186&lt;500000,"$200K–$500K",
     H186&gt;=500000,"$500K+")</f>
        <v>Under $50K</v>
      </c>
      <c r="J186" s="9" t="str">
        <f t="shared" si="10"/>
        <v>2020s</v>
      </c>
      <c r="K186">
        <f t="shared" si="11"/>
        <v>1.7211528668907222E-2</v>
      </c>
      <c r="L186">
        <f t="shared" si="12"/>
        <v>0.15935334872979215</v>
      </c>
      <c r="M186">
        <f t="shared" si="13"/>
        <v>0.31914893617021278</v>
      </c>
      <c r="N186">
        <f t="shared" si="14"/>
        <v>0.16523793785630406</v>
      </c>
    </row>
    <row r="187" spans="1:14">
      <c r="A187" t="s">
        <v>36</v>
      </c>
      <c r="B187" t="s">
        <v>148</v>
      </c>
      <c r="C187">
        <v>2021</v>
      </c>
      <c r="D187" t="s">
        <v>85</v>
      </c>
      <c r="E187">
        <v>750</v>
      </c>
      <c r="F187">
        <v>774</v>
      </c>
      <c r="G187">
        <v>2.6</v>
      </c>
      <c r="H187" s="4">
        <v>185000</v>
      </c>
      <c r="I187" s="8" t="str" cm="1">
        <f t="array" ref="I187">_xlfn.IFS(H187&lt;50000,"Under $50K", H187&lt;100000,"$50K–$100K",
     H187&lt;200000,"$100K–$200K", H187&lt;500000,"$200K–$500K",
     H187&gt;=500000,"$500K+")</f>
        <v>$100K–$200K</v>
      </c>
      <c r="J187" s="9" t="str">
        <f t="shared" si="10"/>
        <v>2020s</v>
      </c>
      <c r="K187">
        <f t="shared" si="11"/>
        <v>5.7948874630817805E-2</v>
      </c>
      <c r="L187">
        <f t="shared" si="12"/>
        <v>0.44688221709006931</v>
      </c>
      <c r="M187">
        <f t="shared" si="13"/>
        <v>0.82978723404255317</v>
      </c>
      <c r="N187">
        <f t="shared" si="14"/>
        <v>0.4448727752544801</v>
      </c>
    </row>
    <row r="188" spans="1:14">
      <c r="A188" t="s">
        <v>24</v>
      </c>
      <c r="B188" t="s">
        <v>96</v>
      </c>
      <c r="C188">
        <v>2021</v>
      </c>
      <c r="D188">
        <v>4</v>
      </c>
      <c r="E188">
        <v>641</v>
      </c>
      <c r="F188">
        <v>627</v>
      </c>
      <c r="G188">
        <v>3.6</v>
      </c>
      <c r="H188" s="4">
        <v>222004</v>
      </c>
      <c r="I188" s="8" t="str" cm="1">
        <f t="array" ref="I188">_xlfn.IFS(H188&lt;50000,"Under $50K", H188&lt;100000,"$50K–$100K",
     H188&lt;200000,"$100K–$200K", H188&lt;500000,"$200K–$500K",
     H188&gt;=500000,"$500K+")</f>
        <v>$200K–$500K</v>
      </c>
      <c r="J188" s="9" t="str">
        <f t="shared" si="10"/>
        <v>2020s</v>
      </c>
      <c r="K188">
        <f t="shared" si="11"/>
        <v>4.684794785619717E-2</v>
      </c>
      <c r="L188">
        <f t="shared" si="12"/>
        <v>0.36200923787528866</v>
      </c>
      <c r="M188">
        <f t="shared" si="13"/>
        <v>0.61702127659574468</v>
      </c>
      <c r="N188">
        <f t="shared" si="14"/>
        <v>0.34195948744241017</v>
      </c>
    </row>
    <row r="189" spans="1:14">
      <c r="A189" t="s">
        <v>19</v>
      </c>
      <c r="B189" t="s">
        <v>120</v>
      </c>
      <c r="C189">
        <v>2021</v>
      </c>
      <c r="D189">
        <v>3.9</v>
      </c>
      <c r="E189">
        <v>710</v>
      </c>
      <c r="F189">
        <v>568</v>
      </c>
      <c r="G189">
        <v>2.9</v>
      </c>
      <c r="H189" s="4">
        <v>276550</v>
      </c>
      <c r="I189" s="8" t="str" cm="1">
        <f t="array" ref="I189">_xlfn.IFS(H189&lt;50000,"Under $50K", H189&lt;100000,"$50K–$100K",
     H189&lt;200000,"$100K–$200K", H189&lt;500000,"$200K–$500K",
     H189&gt;=500000,"$500K+")</f>
        <v>$200K–$500K</v>
      </c>
      <c r="J189" s="9" t="str">
        <f t="shared" si="10"/>
        <v>2020s</v>
      </c>
      <c r="K189">
        <f t="shared" si="11"/>
        <v>5.3875140034626741E-2</v>
      </c>
      <c r="L189">
        <f t="shared" si="12"/>
        <v>0.32794457274826788</v>
      </c>
      <c r="M189">
        <f t="shared" si="13"/>
        <v>0.76595744680851063</v>
      </c>
      <c r="N189">
        <f t="shared" si="14"/>
        <v>0.3825923865304684</v>
      </c>
    </row>
    <row r="190" spans="1:14">
      <c r="A190" t="s">
        <v>13</v>
      </c>
      <c r="B190" t="s">
        <v>137</v>
      </c>
      <c r="C190">
        <v>2022</v>
      </c>
      <c r="D190">
        <v>2.5</v>
      </c>
      <c r="E190">
        <v>401</v>
      </c>
      <c r="F190">
        <v>354</v>
      </c>
      <c r="G190">
        <v>3.5</v>
      </c>
      <c r="H190" s="4">
        <v>56000</v>
      </c>
      <c r="I190" s="8" t="str" cm="1">
        <f t="array" ref="I190">_xlfn.IFS(H190&lt;50000,"Under $50K", H190&lt;100000,"$50K–$100K",
     H190&lt;200000,"$100K–$200K", H190&lt;500000,"$200K–$500K",
     H190&gt;=500000,"$500K+")</f>
        <v>$50K–$100K</v>
      </c>
      <c r="J190" s="9" t="str">
        <f t="shared" si="10"/>
        <v>2020s</v>
      </c>
      <c r="K190">
        <f t="shared" si="11"/>
        <v>2.2405540279050819E-2</v>
      </c>
      <c r="L190">
        <f t="shared" si="12"/>
        <v>0.20438799076212472</v>
      </c>
      <c r="M190">
        <f t="shared" si="13"/>
        <v>0.63829787234042556</v>
      </c>
      <c r="N190">
        <f t="shared" si="14"/>
        <v>0.28836380112720034</v>
      </c>
    </row>
    <row r="191" spans="1:14">
      <c r="A191" t="s">
        <v>29</v>
      </c>
      <c r="B191" t="s">
        <v>103</v>
      </c>
      <c r="C191">
        <v>2021</v>
      </c>
      <c r="D191">
        <v>3.8</v>
      </c>
      <c r="E191">
        <v>562</v>
      </c>
      <c r="F191">
        <v>443</v>
      </c>
      <c r="G191">
        <v>3.1</v>
      </c>
      <c r="H191" s="4">
        <v>191000</v>
      </c>
      <c r="I191" s="8" t="str" cm="1">
        <f t="array" ref="I191">_xlfn.IFS(H191&lt;50000,"Under $50K", H191&lt;100000,"$50K–$100K",
     H191&lt;200000,"$100K–$200K", H191&lt;500000,"$200K–$500K",
     H191&gt;=500000,"$500K+")</f>
        <v>$100K–$200K</v>
      </c>
      <c r="J191" s="9" t="str">
        <f t="shared" si="10"/>
        <v>2020s</v>
      </c>
      <c r="K191">
        <f t="shared" si="11"/>
        <v>3.8802322028719832E-2</v>
      </c>
      <c r="L191">
        <f t="shared" si="12"/>
        <v>0.25577367205542723</v>
      </c>
      <c r="M191">
        <f t="shared" si="13"/>
        <v>0.72340425531914887</v>
      </c>
      <c r="N191">
        <f t="shared" si="14"/>
        <v>0.33932674980109861</v>
      </c>
    </row>
    <row r="192" spans="1:14">
      <c r="A192" t="s">
        <v>15</v>
      </c>
      <c r="B192" t="s">
        <v>111</v>
      </c>
      <c r="C192">
        <v>2022</v>
      </c>
      <c r="D192">
        <v>4.4000000000000004</v>
      </c>
      <c r="E192">
        <v>600</v>
      </c>
      <c r="F192">
        <v>553</v>
      </c>
      <c r="G192">
        <v>3.2</v>
      </c>
      <c r="H192" s="4">
        <v>104000</v>
      </c>
      <c r="I192" s="8" t="str" cm="1">
        <f t="array" ref="I192">_xlfn.IFS(H192&lt;50000,"Under $50K", H192&lt;100000,"$50K–$100K",
     H192&lt;200000,"$100K–$200K", H192&lt;500000,"$200K–$500K",
     H192&gt;=500000,"$500K+")</f>
        <v>$100K–$200K</v>
      </c>
      <c r="J192" s="9" t="str">
        <f t="shared" si="10"/>
        <v>2020s</v>
      </c>
      <c r="K192">
        <f t="shared" si="11"/>
        <v>4.2672369895101335E-2</v>
      </c>
      <c r="L192">
        <f t="shared" si="12"/>
        <v>0.31928406466512704</v>
      </c>
      <c r="M192">
        <f t="shared" si="13"/>
        <v>0.7021276595744681</v>
      </c>
      <c r="N192">
        <f t="shared" si="14"/>
        <v>0.35469469804489884</v>
      </c>
    </row>
    <row r="193" spans="1:14">
      <c r="A193" t="s">
        <v>31</v>
      </c>
      <c r="B193" t="s">
        <v>149</v>
      </c>
      <c r="C193">
        <v>2021</v>
      </c>
      <c r="D193">
        <v>4</v>
      </c>
      <c r="E193">
        <v>469</v>
      </c>
      <c r="F193">
        <v>479</v>
      </c>
      <c r="G193">
        <v>3.9</v>
      </c>
      <c r="H193" s="4">
        <v>69900</v>
      </c>
      <c r="I193" s="8" t="str" cm="1">
        <f t="array" ref="I193">_xlfn.IFS(H193&lt;50000,"Under $50K", H193&lt;100000,"$50K–$100K",
     H193&lt;200000,"$100K–$200K", H193&lt;500000,"$200K–$500K",
     H193&gt;=500000,"$500K+")</f>
        <v>$50K–$100K</v>
      </c>
      <c r="J193" s="9" t="str">
        <f t="shared" si="10"/>
        <v>2020s</v>
      </c>
      <c r="K193">
        <f t="shared" si="11"/>
        <v>2.933088909257562E-2</v>
      </c>
      <c r="L193">
        <f t="shared" si="12"/>
        <v>0.27655889145496537</v>
      </c>
      <c r="M193">
        <f t="shared" si="13"/>
        <v>0.55319148936170226</v>
      </c>
      <c r="N193">
        <f t="shared" si="14"/>
        <v>0.28636042330308109</v>
      </c>
    </row>
    <row r="194" spans="1:14">
      <c r="A194" t="s">
        <v>17</v>
      </c>
      <c r="B194" t="s">
        <v>91</v>
      </c>
      <c r="C194">
        <v>2021</v>
      </c>
      <c r="D194">
        <v>6.2</v>
      </c>
      <c r="E194">
        <v>650</v>
      </c>
      <c r="F194">
        <v>650</v>
      </c>
      <c r="G194">
        <v>3.5</v>
      </c>
      <c r="H194" s="4">
        <v>64000</v>
      </c>
      <c r="I194" s="8" t="str" cm="1">
        <f t="array" ref="I194">_xlfn.IFS(H194&lt;50000,"Under $50K", H194&lt;100000,"$50K–$100K",
     H194&lt;200000,"$100K–$200K", H194&lt;500000,"$200K–$500K",
     H194&gt;=500000,"$500K+")</f>
        <v>$50K–$100K</v>
      </c>
      <c r="J194" s="9" t="str">
        <f t="shared" si="10"/>
        <v>2020s</v>
      </c>
      <c r="K194">
        <f t="shared" si="11"/>
        <v>4.7764538140340158E-2</v>
      </c>
      <c r="L194">
        <f t="shared" si="12"/>
        <v>0.37528868360277134</v>
      </c>
      <c r="M194">
        <f t="shared" si="13"/>
        <v>0.63829787234042556</v>
      </c>
      <c r="N194">
        <f t="shared" si="14"/>
        <v>0.35378369802784571</v>
      </c>
    </row>
    <row r="195" spans="1:14">
      <c r="A195" t="s">
        <v>36</v>
      </c>
      <c r="B195" t="s">
        <v>148</v>
      </c>
      <c r="C195">
        <v>2022</v>
      </c>
      <c r="D195">
        <v>2</v>
      </c>
      <c r="E195">
        <v>402</v>
      </c>
      <c r="F195">
        <v>254</v>
      </c>
      <c r="G195">
        <v>5.0999999999999996</v>
      </c>
      <c r="H195" s="4">
        <v>81250</v>
      </c>
      <c r="I195" s="8" t="str" cm="1">
        <f t="array" ref="I195">_xlfn.IFS(H195&lt;50000,"Under $50K", H195&lt;100000,"$50K–$100K",
     H195&lt;200000,"$100K–$200K", H195&lt;500000,"$200K–$500K",
     H195&gt;=500000,"$500K+")</f>
        <v>$50K–$100K</v>
      </c>
      <c r="J195" s="9" t="str">
        <f t="shared" ref="J195:J258" si="15">_xlfn.CONCAT(INT(C195/10)*10,"s")</f>
        <v>2020s</v>
      </c>
      <c r="K195">
        <f t="shared" ref="K195:K258" si="16">(E195-MIN($E$2:$E$1008))/(MAX($E$2:$E$1008)-MIN($E$2:$E$1008))</f>
        <v>2.2507383643955596E-2</v>
      </c>
      <c r="L195">
        <f t="shared" ref="L195:L258" si="17">(F195-MIN($F$2:$F$501))/(MAX($F$2:$F$501)-MIN($F$2:$F$501))</f>
        <v>0.14665127020785218</v>
      </c>
      <c r="M195">
        <f t="shared" ref="M195:M258" si="18">1-((G195-MIN($G$2:$G$501))/(MAX($G$2:$G$501)-MIN($G$2:$G$501)))</f>
        <v>0.29787234042553201</v>
      </c>
      <c r="N195">
        <f t="shared" ref="N195:N258" si="19">AVERAGE(K195,L195,M195)</f>
        <v>0.15567699809244659</v>
      </c>
    </row>
    <row r="196" spans="1:14">
      <c r="A196" t="s">
        <v>24</v>
      </c>
      <c r="B196" t="s">
        <v>115</v>
      </c>
      <c r="C196">
        <v>2021</v>
      </c>
      <c r="D196">
        <v>6.5</v>
      </c>
      <c r="E196">
        <v>730</v>
      </c>
      <c r="F196">
        <v>509</v>
      </c>
      <c r="G196">
        <v>2.9</v>
      </c>
      <c r="H196" s="4">
        <v>517700</v>
      </c>
      <c r="I196" s="8" t="str" cm="1">
        <f t="array" ref="I196">_xlfn.IFS(H196&lt;50000,"Under $50K", H196&lt;100000,"$50K–$100K",
     H196&lt;200000,"$100K–$200K", H196&lt;500000,"$200K–$500K",
     H196&gt;=500000,"$500K+")</f>
        <v>$500K+</v>
      </c>
      <c r="J196" s="9" t="str">
        <f t="shared" si="15"/>
        <v>2020s</v>
      </c>
      <c r="K196">
        <f t="shared" si="16"/>
        <v>5.5912007332722273E-2</v>
      </c>
      <c r="L196">
        <f t="shared" si="17"/>
        <v>0.29387990762124711</v>
      </c>
      <c r="M196">
        <f t="shared" si="18"/>
        <v>0.76595744680851063</v>
      </c>
      <c r="N196">
        <f t="shared" si="19"/>
        <v>0.37191645392082667</v>
      </c>
    </row>
    <row r="197" spans="1:14">
      <c r="A197" t="s">
        <v>12</v>
      </c>
      <c r="B197" t="s">
        <v>132</v>
      </c>
      <c r="C197">
        <v>2022</v>
      </c>
      <c r="D197">
        <v>5.2</v>
      </c>
      <c r="E197">
        <v>715</v>
      </c>
      <c r="F197">
        <v>663</v>
      </c>
      <c r="G197">
        <v>3.4</v>
      </c>
      <c r="H197" s="4">
        <v>330000</v>
      </c>
      <c r="I197" s="8" t="str" cm="1">
        <f t="array" ref="I197">_xlfn.IFS(H197&lt;50000,"Under $50K", H197&lt;100000,"$50K–$100K",
     H197&lt;200000,"$100K–$200K", H197&lt;500000,"$200K–$500K",
     H197&gt;=500000,"$500K+")</f>
        <v>$200K–$500K</v>
      </c>
      <c r="J197" s="9" t="str">
        <f t="shared" si="15"/>
        <v>2020s</v>
      </c>
      <c r="K197">
        <f t="shared" si="16"/>
        <v>5.4384356859150627E-2</v>
      </c>
      <c r="L197">
        <f t="shared" si="17"/>
        <v>0.3827944572748268</v>
      </c>
      <c r="M197">
        <f t="shared" si="18"/>
        <v>0.65957446808510645</v>
      </c>
      <c r="N197">
        <f t="shared" si="19"/>
        <v>0.36558442740636127</v>
      </c>
    </row>
    <row r="198" spans="1:14">
      <c r="A198" t="s">
        <v>13</v>
      </c>
      <c r="B198" t="s">
        <v>150</v>
      </c>
      <c r="C198">
        <v>2021</v>
      </c>
      <c r="D198">
        <v>4</v>
      </c>
      <c r="E198">
        <v>591</v>
      </c>
      <c r="F198">
        <v>590</v>
      </c>
      <c r="G198">
        <v>3.5</v>
      </c>
      <c r="H198" s="4">
        <v>109000</v>
      </c>
      <c r="I198" s="8" t="str" cm="1">
        <f t="array" ref="I198">_xlfn.IFS(H198&lt;50000,"Under $50K", H198&lt;100000,"$50K–$100K",
     H198&lt;200000,"$100K–$200K", H198&lt;500000,"$200K–$500K",
     H198&gt;=500000,"$500K+")</f>
        <v>$100K–$200K</v>
      </c>
      <c r="J198" s="9" t="str">
        <f t="shared" si="15"/>
        <v>2020s</v>
      </c>
      <c r="K198">
        <f t="shared" si="16"/>
        <v>4.1755779610958346E-2</v>
      </c>
      <c r="L198">
        <f t="shared" si="17"/>
        <v>0.34064665127020788</v>
      </c>
      <c r="M198">
        <f t="shared" si="18"/>
        <v>0.63829787234042556</v>
      </c>
      <c r="N198">
        <f t="shared" si="19"/>
        <v>0.34023343440719728</v>
      </c>
    </row>
    <row r="199" spans="1:14">
      <c r="A199" t="s">
        <v>29</v>
      </c>
      <c r="B199" t="s">
        <v>110</v>
      </c>
      <c r="C199">
        <v>2021</v>
      </c>
      <c r="D199">
        <v>3.8</v>
      </c>
      <c r="E199">
        <v>592</v>
      </c>
      <c r="F199">
        <v>457</v>
      </c>
      <c r="G199">
        <v>2.8</v>
      </c>
      <c r="H199" s="4">
        <v>242500</v>
      </c>
      <c r="I199" s="8" t="str" cm="1">
        <f t="array" ref="I199">_xlfn.IFS(H199&lt;50000,"Under $50K", H199&lt;100000,"$50K–$100K",
     H199&lt;200000,"$100K–$200K", H199&lt;500000,"$200K–$500K",
     H199&gt;=500000,"$500K+")</f>
        <v>$200K–$500K</v>
      </c>
      <c r="J199" s="9" t="str">
        <f t="shared" si="15"/>
        <v>2020s</v>
      </c>
      <c r="K199">
        <f t="shared" si="16"/>
        <v>4.1857622975863124E-2</v>
      </c>
      <c r="L199">
        <f t="shared" si="17"/>
        <v>0.26385681293302543</v>
      </c>
      <c r="M199">
        <f t="shared" si="18"/>
        <v>0.78723404255319152</v>
      </c>
      <c r="N199">
        <f t="shared" si="19"/>
        <v>0.36431615948736001</v>
      </c>
    </row>
    <row r="200" spans="1:14">
      <c r="A200" t="s">
        <v>30</v>
      </c>
      <c r="B200" t="s">
        <v>151</v>
      </c>
      <c r="C200">
        <v>2022</v>
      </c>
      <c r="D200">
        <v>4</v>
      </c>
      <c r="E200">
        <v>503</v>
      </c>
      <c r="F200">
        <v>516</v>
      </c>
      <c r="G200">
        <v>3.7</v>
      </c>
      <c r="H200" s="4">
        <v>77000</v>
      </c>
      <c r="I200" s="8" t="str" cm="1">
        <f t="array" ref="I200">_xlfn.IFS(H200&lt;50000,"Under $50K", H200&lt;100000,"$50K–$100K",
     H200&lt;200000,"$100K–$200K", H200&lt;500000,"$200K–$500K",
     H200&gt;=500000,"$500K+")</f>
        <v>$50K–$100K</v>
      </c>
      <c r="J200" s="9" t="str">
        <f t="shared" si="15"/>
        <v>2020s</v>
      </c>
      <c r="K200">
        <f t="shared" si="16"/>
        <v>3.279356349933802E-2</v>
      </c>
      <c r="L200">
        <f t="shared" si="17"/>
        <v>0.29792147806004621</v>
      </c>
      <c r="M200">
        <f t="shared" si="18"/>
        <v>0.5957446808510638</v>
      </c>
      <c r="N200">
        <f t="shared" si="19"/>
        <v>0.30881990747014937</v>
      </c>
    </row>
    <row r="201" spans="1:14">
      <c r="A201" t="s">
        <v>15</v>
      </c>
      <c r="B201" t="s">
        <v>90</v>
      </c>
      <c r="C201">
        <v>2022</v>
      </c>
      <c r="D201">
        <v>3</v>
      </c>
      <c r="E201">
        <v>473</v>
      </c>
      <c r="F201">
        <v>406</v>
      </c>
      <c r="G201">
        <v>4.0999999999999996</v>
      </c>
      <c r="H201" s="4">
        <v>72800</v>
      </c>
      <c r="I201" s="8" t="str" cm="1">
        <f t="array" ref="I201">_xlfn.IFS(H201&lt;50000,"Under $50K", H201&lt;100000,"$50K–$100K",
     H201&lt;200000,"$100K–$200K", H201&lt;500000,"$200K–$500K",
     H201&gt;=500000,"$500K+")</f>
        <v>$50K–$100K</v>
      </c>
      <c r="J201" s="9" t="str">
        <f t="shared" si="15"/>
        <v>2020s</v>
      </c>
      <c r="K201">
        <f t="shared" si="16"/>
        <v>2.9738262552194725E-2</v>
      </c>
      <c r="L201">
        <f t="shared" si="17"/>
        <v>0.23441108545034642</v>
      </c>
      <c r="M201">
        <f t="shared" si="18"/>
        <v>0.5106382978723405</v>
      </c>
      <c r="N201">
        <f t="shared" si="19"/>
        <v>0.25826254862496056</v>
      </c>
    </row>
    <row r="202" spans="1:14">
      <c r="A202" t="s">
        <v>17</v>
      </c>
      <c r="B202" t="s">
        <v>91</v>
      </c>
      <c r="C202">
        <v>2021</v>
      </c>
      <c r="D202">
        <v>6.2</v>
      </c>
      <c r="E202">
        <v>650</v>
      </c>
      <c r="F202">
        <v>650</v>
      </c>
      <c r="G202">
        <v>3.5</v>
      </c>
      <c r="H202" s="4">
        <v>62000</v>
      </c>
      <c r="I202" s="8" t="str" cm="1">
        <f t="array" ref="I202">_xlfn.IFS(H202&lt;50000,"Under $50K", H202&lt;100000,"$50K–$100K",
     H202&lt;200000,"$100K–$200K", H202&lt;500000,"$200K–$500K",
     H202&gt;=500000,"$500K+")</f>
        <v>$50K–$100K</v>
      </c>
      <c r="J202" s="9" t="str">
        <f t="shared" si="15"/>
        <v>2020s</v>
      </c>
      <c r="K202">
        <f t="shared" si="16"/>
        <v>4.7764538140340158E-2</v>
      </c>
      <c r="L202">
        <f t="shared" si="17"/>
        <v>0.37528868360277134</v>
      </c>
      <c r="M202">
        <f t="shared" si="18"/>
        <v>0.63829787234042556</v>
      </c>
      <c r="N202">
        <f t="shared" si="19"/>
        <v>0.35378369802784571</v>
      </c>
    </row>
    <row r="203" spans="1:14">
      <c r="A203" t="s">
        <v>18</v>
      </c>
      <c r="B203" t="s">
        <v>114</v>
      </c>
      <c r="C203">
        <v>2022</v>
      </c>
      <c r="D203">
        <v>6.2</v>
      </c>
      <c r="E203">
        <v>797</v>
      </c>
      <c r="F203">
        <v>707</v>
      </c>
      <c r="G203">
        <v>3.5</v>
      </c>
      <c r="H203" s="4">
        <v>76000</v>
      </c>
      <c r="I203" s="8" t="str" cm="1">
        <f t="array" ref="I203">_xlfn.IFS(H203&lt;50000,"Under $50K", H203&lt;100000,"$50K–$100K",
     H203&lt;200000,"$100K–$200K", H203&lt;500000,"$200K–$500K",
     H203&gt;=500000,"$500K+")</f>
        <v>$50K–$100K</v>
      </c>
      <c r="J203" s="9" t="str">
        <f t="shared" si="15"/>
        <v>2020s</v>
      </c>
      <c r="K203">
        <f t="shared" si="16"/>
        <v>6.273551278134229E-2</v>
      </c>
      <c r="L203">
        <f t="shared" si="17"/>
        <v>0.40819861431870669</v>
      </c>
      <c r="M203">
        <f t="shared" si="18"/>
        <v>0.63829787234042556</v>
      </c>
      <c r="N203">
        <f t="shared" si="19"/>
        <v>0.36974399981349154</v>
      </c>
    </row>
    <row r="204" spans="1:14">
      <c r="A204" t="s">
        <v>20</v>
      </c>
      <c r="B204" t="s">
        <v>92</v>
      </c>
      <c r="C204">
        <v>2022</v>
      </c>
      <c r="D204">
        <v>3.5</v>
      </c>
      <c r="E204">
        <v>660</v>
      </c>
      <c r="F204">
        <v>550</v>
      </c>
      <c r="G204">
        <v>2.9</v>
      </c>
      <c r="H204" s="4">
        <v>500000</v>
      </c>
      <c r="I204" s="8" t="str" cm="1">
        <f t="array" ref="I204">_xlfn.IFS(H204&lt;50000,"Under $50K", H204&lt;100000,"$50K–$100K",
     H204&lt;200000,"$100K–$200K", H204&lt;500000,"$200K–$500K",
     H204&gt;=500000,"$500K+")</f>
        <v>$500K+</v>
      </c>
      <c r="J204" s="9" t="str">
        <f t="shared" si="15"/>
        <v>2020s</v>
      </c>
      <c r="K204">
        <f t="shared" si="16"/>
        <v>4.8782971789387924E-2</v>
      </c>
      <c r="L204">
        <f t="shared" si="17"/>
        <v>0.31755196304849886</v>
      </c>
      <c r="M204">
        <f t="shared" si="18"/>
        <v>0.76595744680851063</v>
      </c>
      <c r="N204">
        <f t="shared" si="19"/>
        <v>0.37743079388213246</v>
      </c>
    </row>
    <row r="205" spans="1:14">
      <c r="A205" t="s">
        <v>32</v>
      </c>
      <c r="B205" t="s">
        <v>117</v>
      </c>
      <c r="C205">
        <v>2021</v>
      </c>
      <c r="D205">
        <v>3.7</v>
      </c>
      <c r="E205">
        <v>332</v>
      </c>
      <c r="F205">
        <v>270</v>
      </c>
      <c r="G205">
        <v>4.9000000000000004</v>
      </c>
      <c r="H205" s="4">
        <v>30090</v>
      </c>
      <c r="I205" s="8" t="str" cm="1">
        <f t="array" ref="I205">_xlfn.IFS(H205&lt;50000,"Under $50K", H205&lt;100000,"$50K–$100K",
     H205&lt;200000,"$100K–$200K", H205&lt;500000,"$200K–$500K",
     H205&gt;=500000,"$500K+")</f>
        <v>Under $50K</v>
      </c>
      <c r="J205" s="9" t="str">
        <f t="shared" si="15"/>
        <v>2020s</v>
      </c>
      <c r="K205">
        <f t="shared" si="16"/>
        <v>1.5378348100621244E-2</v>
      </c>
      <c r="L205">
        <f t="shared" si="17"/>
        <v>0.15588914549653579</v>
      </c>
      <c r="M205">
        <f t="shared" si="18"/>
        <v>0.34042553191489355</v>
      </c>
      <c r="N205">
        <f t="shared" si="19"/>
        <v>0.17056434183735023</v>
      </c>
    </row>
    <row r="206" spans="1:14">
      <c r="A206" t="s">
        <v>36</v>
      </c>
      <c r="B206" t="s">
        <v>108</v>
      </c>
      <c r="C206">
        <v>2022</v>
      </c>
      <c r="D206">
        <v>2.9</v>
      </c>
      <c r="E206">
        <v>325</v>
      </c>
      <c r="F206">
        <v>332</v>
      </c>
      <c r="G206">
        <v>5.3</v>
      </c>
      <c r="H206" s="4">
        <v>87200</v>
      </c>
      <c r="I206" s="8" t="str" cm="1">
        <f t="array" ref="I206">_xlfn.IFS(H206&lt;50000,"Under $50K", H206&lt;100000,"$50K–$100K",
     H206&lt;200000,"$100K–$200K", H206&lt;500000,"$200K–$500K",
     H206&gt;=500000,"$500K+")</f>
        <v>$50K–$100K</v>
      </c>
      <c r="J206" s="9" t="str">
        <f t="shared" si="15"/>
        <v>2020s</v>
      </c>
      <c r="K206">
        <f t="shared" si="16"/>
        <v>1.466544454628781E-2</v>
      </c>
      <c r="L206">
        <f t="shared" si="17"/>
        <v>0.19168591224018475</v>
      </c>
      <c r="M206">
        <f t="shared" si="18"/>
        <v>0.25531914893617025</v>
      </c>
      <c r="N206">
        <f t="shared" si="19"/>
        <v>0.15389016857421425</v>
      </c>
    </row>
    <row r="207" spans="1:14">
      <c r="A207" t="s">
        <v>24</v>
      </c>
      <c r="B207" t="s">
        <v>96</v>
      </c>
      <c r="C207">
        <v>2021</v>
      </c>
      <c r="D207">
        <v>4</v>
      </c>
      <c r="E207">
        <v>641</v>
      </c>
      <c r="F207">
        <v>626</v>
      </c>
      <c r="G207">
        <v>3.5</v>
      </c>
      <c r="H207" s="4">
        <v>218000</v>
      </c>
      <c r="I207" s="8" t="str" cm="1">
        <f t="array" ref="I207">_xlfn.IFS(H207&lt;50000,"Under $50K", H207&lt;100000,"$50K–$100K",
     H207&lt;200000,"$100K–$200K", H207&lt;500000,"$200K–$500K",
     H207&gt;=500000,"$500K+")</f>
        <v>$200K–$500K</v>
      </c>
      <c r="J207" s="9" t="str">
        <f t="shared" si="15"/>
        <v>2020s</v>
      </c>
      <c r="K207">
        <f t="shared" si="16"/>
        <v>4.684794785619717E-2</v>
      </c>
      <c r="L207">
        <f t="shared" si="17"/>
        <v>0.36143187066974597</v>
      </c>
      <c r="M207">
        <f t="shared" si="18"/>
        <v>0.63829787234042556</v>
      </c>
      <c r="N207">
        <f t="shared" si="19"/>
        <v>0.34885923028878957</v>
      </c>
    </row>
    <row r="208" spans="1:14">
      <c r="A208" t="s">
        <v>16</v>
      </c>
      <c r="B208" t="s">
        <v>70</v>
      </c>
      <c r="C208">
        <v>2021</v>
      </c>
      <c r="D208">
        <v>8</v>
      </c>
      <c r="E208">
        <v>1500</v>
      </c>
      <c r="F208">
        <v>1180</v>
      </c>
      <c r="G208">
        <v>2.2999999999999998</v>
      </c>
      <c r="H208" s="4">
        <v>3000000</v>
      </c>
      <c r="I208" s="8" t="str" cm="1">
        <f t="array" ref="I208">_xlfn.IFS(H208&lt;50000,"Under $50K", H208&lt;100000,"$50K–$100K",
     H208&lt;200000,"$100K–$200K", H208&lt;500000,"$200K–$500K",
     H208&gt;=500000,"$500K+")</f>
        <v>$500K+</v>
      </c>
      <c r="J208" s="9" t="str">
        <f t="shared" si="15"/>
        <v>2020s</v>
      </c>
      <c r="K208">
        <f t="shared" si="16"/>
        <v>0.13433139830940014</v>
      </c>
      <c r="L208">
        <f t="shared" si="17"/>
        <v>0.68129330254041576</v>
      </c>
      <c r="M208">
        <f t="shared" si="18"/>
        <v>0.89361702127659581</v>
      </c>
      <c r="N208">
        <f t="shared" si="19"/>
        <v>0.56974724070880389</v>
      </c>
    </row>
    <row r="209" spans="1:14">
      <c r="A209" t="s">
        <v>19</v>
      </c>
      <c r="B209" t="s">
        <v>120</v>
      </c>
      <c r="C209">
        <v>2021</v>
      </c>
      <c r="D209">
        <v>3.9</v>
      </c>
      <c r="E209">
        <v>710</v>
      </c>
      <c r="F209">
        <v>568</v>
      </c>
      <c r="G209">
        <v>2.9</v>
      </c>
      <c r="H209" s="4">
        <v>274280</v>
      </c>
      <c r="I209" s="8" t="str" cm="1">
        <f t="array" ref="I209">_xlfn.IFS(H209&lt;50000,"Under $50K", H209&lt;100000,"$50K–$100K",
     H209&lt;200000,"$100K–$200K", H209&lt;500000,"$200K–$500K",
     H209&gt;=500000,"$500K+")</f>
        <v>$200K–$500K</v>
      </c>
      <c r="J209" s="9" t="str">
        <f t="shared" si="15"/>
        <v>2020s</v>
      </c>
      <c r="K209">
        <f t="shared" si="16"/>
        <v>5.3875140034626741E-2</v>
      </c>
      <c r="L209">
        <f t="shared" si="17"/>
        <v>0.32794457274826788</v>
      </c>
      <c r="M209">
        <f t="shared" si="18"/>
        <v>0.76595744680851063</v>
      </c>
      <c r="N209">
        <f t="shared" si="19"/>
        <v>0.3825923865304684</v>
      </c>
    </row>
    <row r="210" spans="1:14">
      <c r="A210" t="s">
        <v>13</v>
      </c>
      <c r="B210" t="s">
        <v>152</v>
      </c>
      <c r="C210">
        <v>2021</v>
      </c>
      <c r="D210">
        <v>4</v>
      </c>
      <c r="E210">
        <v>591</v>
      </c>
      <c r="F210">
        <v>590</v>
      </c>
      <c r="G210">
        <v>3.5</v>
      </c>
      <c r="H210" s="4">
        <v>114000</v>
      </c>
      <c r="I210" s="8" t="str" cm="1">
        <f t="array" ref="I210">_xlfn.IFS(H210&lt;50000,"Under $50K", H210&lt;100000,"$50K–$100K",
     H210&lt;200000,"$100K–$200K", H210&lt;500000,"$200K–$500K",
     H210&gt;=500000,"$500K+")</f>
        <v>$100K–$200K</v>
      </c>
      <c r="J210" s="9" t="str">
        <f t="shared" si="15"/>
        <v>2020s</v>
      </c>
      <c r="K210">
        <f t="shared" si="16"/>
        <v>4.1755779610958346E-2</v>
      </c>
      <c r="L210">
        <f t="shared" si="17"/>
        <v>0.34064665127020788</v>
      </c>
      <c r="M210">
        <f t="shared" si="18"/>
        <v>0.63829787234042556</v>
      </c>
      <c r="N210">
        <f t="shared" si="19"/>
        <v>0.34023343440719728</v>
      </c>
    </row>
    <row r="211" spans="1:14">
      <c r="A211" t="s">
        <v>29</v>
      </c>
      <c r="B211" t="s">
        <v>103</v>
      </c>
      <c r="C211">
        <v>2021</v>
      </c>
      <c r="D211">
        <v>3.8</v>
      </c>
      <c r="E211">
        <v>562</v>
      </c>
      <c r="F211">
        <v>443</v>
      </c>
      <c r="G211">
        <v>3.1</v>
      </c>
      <c r="H211" s="4">
        <v>191000</v>
      </c>
      <c r="I211" s="8" t="str" cm="1">
        <f t="array" ref="I211">_xlfn.IFS(H211&lt;50000,"Under $50K", H211&lt;100000,"$50K–$100K",
     H211&lt;200000,"$100K–$200K", H211&lt;500000,"$200K–$500K",
     H211&gt;=500000,"$500K+")</f>
        <v>$100K–$200K</v>
      </c>
      <c r="J211" s="9" t="str">
        <f t="shared" si="15"/>
        <v>2020s</v>
      </c>
      <c r="K211">
        <f t="shared" si="16"/>
        <v>3.8802322028719832E-2</v>
      </c>
      <c r="L211">
        <f t="shared" si="17"/>
        <v>0.25577367205542723</v>
      </c>
      <c r="M211">
        <f t="shared" si="18"/>
        <v>0.72340425531914887</v>
      </c>
      <c r="N211">
        <f t="shared" si="19"/>
        <v>0.33932674980109861</v>
      </c>
    </row>
    <row r="212" spans="1:14">
      <c r="A212" t="s">
        <v>12</v>
      </c>
      <c r="B212" t="s">
        <v>107</v>
      </c>
      <c r="C212">
        <v>2022</v>
      </c>
      <c r="D212">
        <v>4</v>
      </c>
      <c r="E212">
        <v>503</v>
      </c>
      <c r="F212">
        <v>505</v>
      </c>
      <c r="G212">
        <v>3.5</v>
      </c>
      <c r="H212" s="4">
        <v>142086</v>
      </c>
      <c r="I212" s="8" t="str" cm="1">
        <f t="array" ref="I212">_xlfn.IFS(H212&lt;50000,"Under $50K", H212&lt;100000,"$50K–$100K",
     H212&lt;200000,"$100K–$200K", H212&lt;500000,"$200K–$500K",
     H212&gt;=500000,"$500K+")</f>
        <v>$100K–$200K</v>
      </c>
      <c r="J212" s="9" t="str">
        <f t="shared" si="15"/>
        <v>2020s</v>
      </c>
      <c r="K212">
        <f t="shared" si="16"/>
        <v>3.279356349933802E-2</v>
      </c>
      <c r="L212">
        <f t="shared" si="17"/>
        <v>0.29157043879907624</v>
      </c>
      <c r="M212">
        <f t="shared" si="18"/>
        <v>0.63829787234042556</v>
      </c>
      <c r="N212">
        <f t="shared" si="19"/>
        <v>0.32088729154627993</v>
      </c>
    </row>
    <row r="213" spans="1:14">
      <c r="A213" t="s">
        <v>21</v>
      </c>
      <c r="B213" t="s">
        <v>72</v>
      </c>
      <c r="C213">
        <v>2022</v>
      </c>
      <c r="D213">
        <v>5</v>
      </c>
      <c r="E213">
        <v>575</v>
      </c>
      <c r="F213">
        <v>516</v>
      </c>
      <c r="G213">
        <v>3.5</v>
      </c>
      <c r="H213" s="4">
        <v>103200</v>
      </c>
      <c r="I213" s="8" t="str" cm="1">
        <f t="array" ref="I213">_xlfn.IFS(H213&lt;50000,"Under $50K", H213&lt;100000,"$50K–$100K",
     H213&lt;200000,"$100K–$200K", H213&lt;500000,"$200K–$500K",
     H213&gt;=500000,"$500K+")</f>
        <v>$100K–$200K</v>
      </c>
      <c r="J213" s="9" t="str">
        <f t="shared" si="15"/>
        <v>2020s</v>
      </c>
      <c r="K213">
        <f t="shared" si="16"/>
        <v>4.0126285772481923E-2</v>
      </c>
      <c r="L213">
        <f t="shared" si="17"/>
        <v>0.29792147806004621</v>
      </c>
      <c r="M213">
        <f t="shared" si="18"/>
        <v>0.63829787234042556</v>
      </c>
      <c r="N213">
        <f t="shared" si="19"/>
        <v>0.32544854539098456</v>
      </c>
    </row>
    <row r="214" spans="1:14">
      <c r="A214" t="s">
        <v>36</v>
      </c>
      <c r="B214" t="s">
        <v>135</v>
      </c>
      <c r="C214">
        <v>2021</v>
      </c>
      <c r="D214">
        <v>4</v>
      </c>
      <c r="E214">
        <v>620</v>
      </c>
      <c r="F214">
        <v>604</v>
      </c>
      <c r="G214">
        <v>2.9</v>
      </c>
      <c r="H214" s="4">
        <v>177700</v>
      </c>
      <c r="I214" s="8" t="str" cm="1">
        <f t="array" ref="I214">_xlfn.IFS(H214&lt;50000,"Under $50K", H214&lt;100000,"$50K–$100K",
     H214&lt;200000,"$100K–$200K", H214&lt;500000,"$200K–$500K",
     H214&gt;=500000,"$500K+")</f>
        <v>$100K–$200K</v>
      </c>
      <c r="J214" s="9" t="str">
        <f t="shared" si="15"/>
        <v>2020s</v>
      </c>
      <c r="K214">
        <f t="shared" si="16"/>
        <v>4.470923719319686E-2</v>
      </c>
      <c r="L214">
        <f t="shared" si="17"/>
        <v>0.34872979214780603</v>
      </c>
      <c r="M214">
        <f t="shared" si="18"/>
        <v>0.76595744680851063</v>
      </c>
      <c r="N214">
        <f t="shared" si="19"/>
        <v>0.38646549204983782</v>
      </c>
    </row>
    <row r="215" spans="1:14">
      <c r="A215" t="s">
        <v>24</v>
      </c>
      <c r="B215" t="s">
        <v>153</v>
      </c>
      <c r="C215">
        <v>2021</v>
      </c>
      <c r="D215">
        <v>6.5</v>
      </c>
      <c r="E215">
        <v>729</v>
      </c>
      <c r="F215">
        <v>509</v>
      </c>
      <c r="G215">
        <v>2.9</v>
      </c>
      <c r="H215" s="4">
        <v>417650</v>
      </c>
      <c r="I215" s="8" t="str" cm="1">
        <f t="array" ref="I215">_xlfn.IFS(H215&lt;50000,"Under $50K", H215&lt;100000,"$50K–$100K",
     H215&lt;200000,"$100K–$200K", H215&lt;500000,"$200K–$500K",
     H215&gt;=500000,"$500K+")</f>
        <v>$200K–$500K</v>
      </c>
      <c r="J215" s="9" t="str">
        <f t="shared" si="15"/>
        <v>2020s</v>
      </c>
      <c r="K215">
        <f t="shared" si="16"/>
        <v>5.5810163967817496E-2</v>
      </c>
      <c r="L215">
        <f t="shared" si="17"/>
        <v>0.29387990762124711</v>
      </c>
      <c r="M215">
        <f t="shared" si="18"/>
        <v>0.76595744680851063</v>
      </c>
      <c r="N215">
        <f t="shared" si="19"/>
        <v>0.37188250613252505</v>
      </c>
    </row>
    <row r="216" spans="1:14">
      <c r="A216" t="s">
        <v>19</v>
      </c>
      <c r="B216" t="s">
        <v>88</v>
      </c>
      <c r="C216">
        <v>2021</v>
      </c>
      <c r="D216">
        <v>4</v>
      </c>
      <c r="E216">
        <v>986</v>
      </c>
      <c r="F216">
        <v>590</v>
      </c>
      <c r="G216">
        <v>2.5</v>
      </c>
      <c r="H216" s="4">
        <v>625000</v>
      </c>
      <c r="I216" s="8" t="str" cm="1">
        <f t="array" ref="I216">_xlfn.IFS(H216&lt;50000,"Under $50K", H216&lt;100000,"$50K–$100K",
     H216&lt;200000,"$100K–$200K", H216&lt;500000,"$200K–$500K",
     H216&gt;=500000,"$500K+")</f>
        <v>$500K+</v>
      </c>
      <c r="J216" s="9" t="str">
        <f t="shared" si="15"/>
        <v>2020s</v>
      </c>
      <c r="K216">
        <f t="shared" si="16"/>
        <v>8.1983908748345047E-2</v>
      </c>
      <c r="L216">
        <f t="shared" si="17"/>
        <v>0.34064665127020788</v>
      </c>
      <c r="M216">
        <f t="shared" si="18"/>
        <v>0.85106382978723405</v>
      </c>
      <c r="N216">
        <f t="shared" si="19"/>
        <v>0.42456479660192903</v>
      </c>
    </row>
    <row r="217" spans="1:14">
      <c r="A217" t="s">
        <v>13</v>
      </c>
      <c r="B217" t="s">
        <v>89</v>
      </c>
      <c r="C217">
        <v>2022</v>
      </c>
      <c r="D217">
        <v>4</v>
      </c>
      <c r="E217">
        <v>591</v>
      </c>
      <c r="F217">
        <v>590</v>
      </c>
      <c r="G217">
        <v>3.5</v>
      </c>
      <c r="H217" s="4">
        <v>115045</v>
      </c>
      <c r="I217" s="8" t="str" cm="1">
        <f t="array" ref="I217">_xlfn.IFS(H217&lt;50000,"Under $50K", H217&lt;100000,"$50K–$100K",
     H217&lt;200000,"$100K–$200K", H217&lt;500000,"$200K–$500K",
     H217&gt;=500000,"$500K+")</f>
        <v>$100K–$200K</v>
      </c>
      <c r="J217" s="9" t="str">
        <f t="shared" si="15"/>
        <v>2020s</v>
      </c>
      <c r="K217">
        <f t="shared" si="16"/>
        <v>4.1755779610958346E-2</v>
      </c>
      <c r="L217">
        <f t="shared" si="17"/>
        <v>0.34064665127020788</v>
      </c>
      <c r="M217">
        <f t="shared" si="18"/>
        <v>0.63829787234042556</v>
      </c>
      <c r="N217">
        <f t="shared" si="19"/>
        <v>0.34023343440719728</v>
      </c>
    </row>
    <row r="218" spans="1:14">
      <c r="A218" t="s">
        <v>29</v>
      </c>
      <c r="B218" t="s">
        <v>110</v>
      </c>
      <c r="C218">
        <v>2021</v>
      </c>
      <c r="D218">
        <v>3.8</v>
      </c>
      <c r="E218">
        <v>592</v>
      </c>
      <c r="F218">
        <v>457</v>
      </c>
      <c r="G218">
        <v>2.9</v>
      </c>
      <c r="H218" s="4">
        <v>256500</v>
      </c>
      <c r="I218" s="8" t="str" cm="1">
        <f t="array" ref="I218">_xlfn.IFS(H218&lt;50000,"Under $50K", H218&lt;100000,"$50K–$100K",
     H218&lt;200000,"$100K–$200K", H218&lt;500000,"$200K–$500K",
     H218&gt;=500000,"$500K+")</f>
        <v>$200K–$500K</v>
      </c>
      <c r="J218" s="9" t="str">
        <f t="shared" si="15"/>
        <v>2020s</v>
      </c>
      <c r="K218">
        <f t="shared" si="16"/>
        <v>4.1857622975863124E-2</v>
      </c>
      <c r="L218">
        <f t="shared" si="17"/>
        <v>0.26385681293302543</v>
      </c>
      <c r="M218">
        <f t="shared" si="18"/>
        <v>0.76595744680851063</v>
      </c>
      <c r="N218">
        <f t="shared" si="19"/>
        <v>0.35722396090579972</v>
      </c>
    </row>
    <row r="219" spans="1:14">
      <c r="A219" t="s">
        <v>15</v>
      </c>
      <c r="B219" t="s">
        <v>154</v>
      </c>
      <c r="C219">
        <v>2022</v>
      </c>
      <c r="D219">
        <v>3</v>
      </c>
      <c r="E219">
        <v>405</v>
      </c>
      <c r="F219">
        <v>406</v>
      </c>
      <c r="G219">
        <v>4</v>
      </c>
      <c r="H219" s="4">
        <v>59895</v>
      </c>
      <c r="I219" s="8" t="str" cm="1">
        <f t="array" ref="I219">_xlfn.IFS(H219&lt;50000,"Under $50K", H219&lt;100000,"$50K–$100K",
     H219&lt;200000,"$100K–$200K", H219&lt;500000,"$200K–$500K",
     H219&gt;=500000,"$500K+")</f>
        <v>$50K–$100K</v>
      </c>
      <c r="J219" s="9" t="str">
        <f t="shared" si="15"/>
        <v>2020s</v>
      </c>
      <c r="K219">
        <f t="shared" si="16"/>
        <v>2.2812913738669924E-2</v>
      </c>
      <c r="L219">
        <f t="shared" si="17"/>
        <v>0.23441108545034642</v>
      </c>
      <c r="M219">
        <f t="shared" si="18"/>
        <v>0.53191489361702127</v>
      </c>
      <c r="N219">
        <f t="shared" si="19"/>
        <v>0.26304629760201254</v>
      </c>
    </row>
    <row r="220" spans="1:14">
      <c r="A220" t="s">
        <v>31</v>
      </c>
      <c r="B220" t="s">
        <v>155</v>
      </c>
      <c r="C220">
        <v>2021</v>
      </c>
      <c r="D220">
        <v>4</v>
      </c>
      <c r="E220">
        <v>603</v>
      </c>
      <c r="F220">
        <v>664</v>
      </c>
      <c r="G220">
        <v>3.4</v>
      </c>
      <c r="H220" s="4">
        <v>152500</v>
      </c>
      <c r="I220" s="8" t="str" cm="1">
        <f t="array" ref="I220">_xlfn.IFS(H220&lt;50000,"Under $50K", H220&lt;100000,"$50K–$100K",
     H220&lt;200000,"$100K–$200K", H220&lt;500000,"$200K–$500K",
     H220&gt;=500000,"$500K+")</f>
        <v>$100K–$200K</v>
      </c>
      <c r="J220" s="9" t="str">
        <f t="shared" si="15"/>
        <v>2020s</v>
      </c>
      <c r="K220">
        <f t="shared" si="16"/>
        <v>4.2977899989815667E-2</v>
      </c>
      <c r="L220">
        <f t="shared" si="17"/>
        <v>0.38337182448036949</v>
      </c>
      <c r="M220">
        <f t="shared" si="18"/>
        <v>0.65957446808510645</v>
      </c>
      <c r="N220">
        <f t="shared" si="19"/>
        <v>0.36197473085176385</v>
      </c>
    </row>
    <row r="221" spans="1:14">
      <c r="A221" t="s">
        <v>17</v>
      </c>
      <c r="B221" t="s">
        <v>91</v>
      </c>
      <c r="C221">
        <v>2021</v>
      </c>
      <c r="D221">
        <v>6.2</v>
      </c>
      <c r="E221">
        <v>650</v>
      </c>
      <c r="F221">
        <v>650</v>
      </c>
      <c r="G221">
        <v>3.5</v>
      </c>
      <c r="H221" s="4">
        <v>64695</v>
      </c>
      <c r="I221" s="8" t="str" cm="1">
        <f t="array" ref="I221">_xlfn.IFS(H221&lt;50000,"Under $50K", H221&lt;100000,"$50K–$100K",
     H221&lt;200000,"$100K–$200K", H221&lt;500000,"$200K–$500K",
     H221&gt;=500000,"$500K+")</f>
        <v>$50K–$100K</v>
      </c>
      <c r="J221" s="9" t="str">
        <f t="shared" si="15"/>
        <v>2020s</v>
      </c>
      <c r="K221">
        <f t="shared" si="16"/>
        <v>4.7764538140340158E-2</v>
      </c>
      <c r="L221">
        <f t="shared" si="17"/>
        <v>0.37528868360277134</v>
      </c>
      <c r="M221">
        <f t="shared" si="18"/>
        <v>0.63829787234042556</v>
      </c>
      <c r="N221">
        <f t="shared" si="19"/>
        <v>0.35378369802784571</v>
      </c>
    </row>
    <row r="222" spans="1:14">
      <c r="A222" t="s">
        <v>18</v>
      </c>
      <c r="B222" t="s">
        <v>71</v>
      </c>
      <c r="C222">
        <v>2022</v>
      </c>
      <c r="D222">
        <v>6.2</v>
      </c>
      <c r="E222">
        <v>717</v>
      </c>
      <c r="F222">
        <v>656</v>
      </c>
      <c r="G222">
        <v>3.5</v>
      </c>
      <c r="H222" s="4">
        <v>69995</v>
      </c>
      <c r="I222" s="8" t="str" cm="1">
        <f t="array" ref="I222">_xlfn.IFS(H222&lt;50000,"Under $50K", H222&lt;100000,"$50K–$100K",
     H222&lt;200000,"$100K–$200K", H222&lt;500000,"$200K–$500K",
     H222&gt;=500000,"$500K+")</f>
        <v>$50K–$100K</v>
      </c>
      <c r="J222" s="9" t="str">
        <f t="shared" si="15"/>
        <v>2020s</v>
      </c>
      <c r="K222">
        <f t="shared" si="16"/>
        <v>5.4588043588960182E-2</v>
      </c>
      <c r="L222">
        <f t="shared" si="17"/>
        <v>0.3787528868360277</v>
      </c>
      <c r="M222">
        <f t="shared" si="18"/>
        <v>0.63829787234042556</v>
      </c>
      <c r="N222">
        <f t="shared" si="19"/>
        <v>0.35721293425513778</v>
      </c>
    </row>
    <row r="223" spans="1:14">
      <c r="A223" t="s">
        <v>20</v>
      </c>
      <c r="B223" t="s">
        <v>92</v>
      </c>
      <c r="C223">
        <v>2022</v>
      </c>
      <c r="D223">
        <v>3.5</v>
      </c>
      <c r="E223">
        <v>660</v>
      </c>
      <c r="F223">
        <v>550</v>
      </c>
      <c r="G223">
        <v>2.9</v>
      </c>
      <c r="H223" s="4">
        <v>500000</v>
      </c>
      <c r="I223" s="8" t="str" cm="1">
        <f t="array" ref="I223">_xlfn.IFS(H223&lt;50000,"Under $50K", H223&lt;100000,"$50K–$100K",
     H223&lt;200000,"$100K–$200K", H223&lt;500000,"$200K–$500K",
     H223&gt;=500000,"$500K+")</f>
        <v>$500K+</v>
      </c>
      <c r="J223" s="9" t="str">
        <f t="shared" si="15"/>
        <v>2020s</v>
      </c>
      <c r="K223">
        <f t="shared" si="16"/>
        <v>4.8782971789387924E-2</v>
      </c>
      <c r="L223">
        <f t="shared" si="17"/>
        <v>0.31755196304849886</v>
      </c>
      <c r="M223">
        <f t="shared" si="18"/>
        <v>0.76595744680851063</v>
      </c>
      <c r="N223">
        <f t="shared" si="19"/>
        <v>0.37743079388213246</v>
      </c>
    </row>
    <row r="224" spans="1:14">
      <c r="A224" t="s">
        <v>36</v>
      </c>
      <c r="B224" t="s">
        <v>156</v>
      </c>
      <c r="C224">
        <v>2021</v>
      </c>
      <c r="D224" t="s">
        <v>141</v>
      </c>
      <c r="E224">
        <v>750</v>
      </c>
      <c r="F224">
        <v>774</v>
      </c>
      <c r="G224">
        <v>2.6</v>
      </c>
      <c r="H224" s="4">
        <v>185000</v>
      </c>
      <c r="I224" s="8" t="str" cm="1">
        <f t="array" ref="I224">_xlfn.IFS(H224&lt;50000,"Under $50K", H224&lt;100000,"$50K–$100K",
     H224&lt;200000,"$100K–$200K", H224&lt;500000,"$200K–$500K",
     H224&gt;=500000,"$500K+")</f>
        <v>$100K–$200K</v>
      </c>
      <c r="J224" s="9" t="str">
        <f t="shared" si="15"/>
        <v>2020s</v>
      </c>
      <c r="K224">
        <f t="shared" si="16"/>
        <v>5.7948874630817805E-2</v>
      </c>
      <c r="L224">
        <f t="shared" si="17"/>
        <v>0.44688221709006931</v>
      </c>
      <c r="M224">
        <f t="shared" si="18"/>
        <v>0.82978723404255317</v>
      </c>
      <c r="N224">
        <f t="shared" si="19"/>
        <v>0.4448727752544801</v>
      </c>
    </row>
    <row r="225" spans="1:14">
      <c r="A225" t="s">
        <v>24</v>
      </c>
      <c r="B225" t="s">
        <v>96</v>
      </c>
      <c r="C225">
        <v>2021</v>
      </c>
      <c r="D225">
        <v>4</v>
      </c>
      <c r="E225">
        <v>641</v>
      </c>
      <c r="F225">
        <v>627</v>
      </c>
      <c r="G225">
        <v>3.2</v>
      </c>
      <c r="H225" s="4">
        <v>218009</v>
      </c>
      <c r="I225" s="8" t="str" cm="1">
        <f t="array" ref="I225">_xlfn.IFS(H225&lt;50000,"Under $50K", H225&lt;100000,"$50K–$100K",
     H225&lt;200000,"$100K–$200K", H225&lt;500000,"$200K–$500K",
     H225&gt;=500000,"$500K+")</f>
        <v>$200K–$500K</v>
      </c>
      <c r="J225" s="9" t="str">
        <f t="shared" si="15"/>
        <v>2020s</v>
      </c>
      <c r="K225">
        <f t="shared" si="16"/>
        <v>4.684794785619717E-2</v>
      </c>
      <c r="L225">
        <f t="shared" si="17"/>
        <v>0.36200923787528866</v>
      </c>
      <c r="M225">
        <f t="shared" si="18"/>
        <v>0.7021276595744681</v>
      </c>
      <c r="N225">
        <f t="shared" si="19"/>
        <v>0.37032828176865129</v>
      </c>
    </row>
    <row r="226" spans="1:14">
      <c r="A226" t="s">
        <v>19</v>
      </c>
      <c r="B226" t="s">
        <v>157</v>
      </c>
      <c r="C226">
        <v>2021</v>
      </c>
      <c r="D226">
        <v>6.5</v>
      </c>
      <c r="E226">
        <v>789</v>
      </c>
      <c r="F226">
        <v>530</v>
      </c>
      <c r="G226">
        <v>2.9</v>
      </c>
      <c r="H226" s="4">
        <v>363730</v>
      </c>
      <c r="I226" s="8" t="str" cm="1">
        <f t="array" ref="I226">_xlfn.IFS(H226&lt;50000,"Under $50K", H226&lt;100000,"$50K–$100K",
     H226&lt;200000,"$100K–$200K", H226&lt;500000,"$200K–$500K",
     H226&gt;=500000,"$500K+")</f>
        <v>$200K–$500K</v>
      </c>
      <c r="J226" s="9" t="str">
        <f t="shared" si="15"/>
        <v>2020s</v>
      </c>
      <c r="K226">
        <f t="shared" si="16"/>
        <v>6.1920765862104085E-2</v>
      </c>
      <c r="L226">
        <f t="shared" si="17"/>
        <v>0.30600461893764436</v>
      </c>
      <c r="M226">
        <f t="shared" si="18"/>
        <v>0.76595744680851063</v>
      </c>
      <c r="N226">
        <f t="shared" si="19"/>
        <v>0.37796094386941964</v>
      </c>
    </row>
    <row r="227" spans="1:14">
      <c r="A227" t="s">
        <v>13</v>
      </c>
      <c r="B227" t="s">
        <v>158</v>
      </c>
      <c r="C227">
        <v>2022</v>
      </c>
      <c r="D227">
        <v>5.2</v>
      </c>
      <c r="E227">
        <v>562</v>
      </c>
      <c r="F227">
        <v>406</v>
      </c>
      <c r="G227">
        <v>3.5</v>
      </c>
      <c r="H227" s="4">
        <v>183300</v>
      </c>
      <c r="I227" s="8" t="str" cm="1">
        <f t="array" ref="I227">_xlfn.IFS(H227&lt;50000,"Under $50K", H227&lt;100000,"$50K–$100K",
     H227&lt;200000,"$100K–$200K", H227&lt;500000,"$200K–$500K",
     H227&gt;=500000,"$500K+")</f>
        <v>$100K–$200K</v>
      </c>
      <c r="J227" s="9" t="str">
        <f t="shared" si="15"/>
        <v>2020s</v>
      </c>
      <c r="K227">
        <f t="shared" si="16"/>
        <v>3.8802322028719832E-2</v>
      </c>
      <c r="L227">
        <f t="shared" si="17"/>
        <v>0.23441108545034642</v>
      </c>
      <c r="M227">
        <f t="shared" si="18"/>
        <v>0.63829787234042556</v>
      </c>
      <c r="N227">
        <f t="shared" si="19"/>
        <v>0.30383709327316394</v>
      </c>
    </row>
    <row r="228" spans="1:14">
      <c r="A228" t="s">
        <v>29</v>
      </c>
      <c r="B228" t="s">
        <v>92</v>
      </c>
      <c r="C228">
        <v>2021</v>
      </c>
      <c r="D228">
        <v>4</v>
      </c>
      <c r="E228">
        <v>612</v>
      </c>
      <c r="F228">
        <v>465</v>
      </c>
      <c r="G228">
        <v>3.1</v>
      </c>
      <c r="H228" s="4">
        <v>210000</v>
      </c>
      <c r="I228" s="8" t="str" cm="1">
        <f t="array" ref="I228">_xlfn.IFS(H228&lt;50000,"Under $50K", H228&lt;100000,"$50K–$100K",
     H228&lt;200000,"$100K–$200K", H228&lt;500000,"$200K–$500K",
     H228&gt;=500000,"$500K+")</f>
        <v>$200K–$500K</v>
      </c>
      <c r="J228" s="9" t="str">
        <f t="shared" si="15"/>
        <v>2020s</v>
      </c>
      <c r="K228">
        <f t="shared" si="16"/>
        <v>4.3894490273958649E-2</v>
      </c>
      <c r="L228">
        <f t="shared" si="17"/>
        <v>0.26847575057736722</v>
      </c>
      <c r="M228">
        <f t="shared" si="18"/>
        <v>0.72340425531914887</v>
      </c>
      <c r="N228">
        <f t="shared" si="19"/>
        <v>0.34525816539015824</v>
      </c>
    </row>
    <row r="229" spans="1:14">
      <c r="A229" t="s">
        <v>15</v>
      </c>
      <c r="B229" t="s">
        <v>90</v>
      </c>
      <c r="C229">
        <v>2022</v>
      </c>
      <c r="D229">
        <v>3</v>
      </c>
      <c r="E229">
        <v>473</v>
      </c>
      <c r="F229">
        <v>406</v>
      </c>
      <c r="G229">
        <v>4.0999999999999996</v>
      </c>
      <c r="H229" s="4">
        <v>73795</v>
      </c>
      <c r="I229" s="8" t="str" cm="1">
        <f t="array" ref="I229">_xlfn.IFS(H229&lt;50000,"Under $50K", H229&lt;100000,"$50K–$100K",
     H229&lt;200000,"$100K–$200K", H229&lt;500000,"$200K–$500K",
     H229&gt;=500000,"$500K+")</f>
        <v>$50K–$100K</v>
      </c>
      <c r="J229" s="9" t="str">
        <f t="shared" si="15"/>
        <v>2020s</v>
      </c>
      <c r="K229">
        <f t="shared" si="16"/>
        <v>2.9738262552194725E-2</v>
      </c>
      <c r="L229">
        <f t="shared" si="17"/>
        <v>0.23441108545034642</v>
      </c>
      <c r="M229">
        <f t="shared" si="18"/>
        <v>0.5106382978723405</v>
      </c>
      <c r="N229">
        <f t="shared" si="19"/>
        <v>0.25826254862496056</v>
      </c>
    </row>
    <row r="230" spans="1:14">
      <c r="A230" t="s">
        <v>31</v>
      </c>
      <c r="B230" t="s">
        <v>159</v>
      </c>
      <c r="C230">
        <v>2021</v>
      </c>
      <c r="D230">
        <v>4</v>
      </c>
      <c r="E230">
        <v>577</v>
      </c>
      <c r="F230">
        <v>516</v>
      </c>
      <c r="G230">
        <v>3.5</v>
      </c>
      <c r="H230" s="4">
        <v>183000</v>
      </c>
      <c r="I230" s="8" t="str" cm="1">
        <f t="array" ref="I230">_xlfn.IFS(H230&lt;50000,"Under $50K", H230&lt;100000,"$50K–$100K",
     H230&lt;200000,"$100K–$200K", H230&lt;500000,"$200K–$500K",
     H230&gt;=500000,"$500K+")</f>
        <v>$100K–$200K</v>
      </c>
      <c r="J230" s="9" t="str">
        <f t="shared" si="15"/>
        <v>2020s</v>
      </c>
      <c r="K230">
        <f t="shared" si="16"/>
        <v>4.0329972502291478E-2</v>
      </c>
      <c r="L230">
        <f t="shared" si="17"/>
        <v>0.29792147806004621</v>
      </c>
      <c r="M230">
        <f t="shared" si="18"/>
        <v>0.63829787234042556</v>
      </c>
      <c r="N230">
        <f t="shared" si="19"/>
        <v>0.32551644096758775</v>
      </c>
    </row>
    <row r="231" spans="1:14">
      <c r="A231" t="s">
        <v>17</v>
      </c>
      <c r="B231" t="s">
        <v>119</v>
      </c>
      <c r="C231">
        <v>2021</v>
      </c>
      <c r="D231">
        <v>6.2</v>
      </c>
      <c r="E231">
        <v>495</v>
      </c>
      <c r="F231">
        <v>470</v>
      </c>
      <c r="G231">
        <v>2.9</v>
      </c>
      <c r="H231" s="4">
        <v>60995</v>
      </c>
      <c r="I231" s="8" t="str" cm="1">
        <f t="array" ref="I231">_xlfn.IFS(H231&lt;50000,"Under $50K", H231&lt;100000,"$50K–$100K",
     H231&lt;200000,"$100K–$200K", H231&lt;500000,"$200K–$500K",
     H231&gt;=500000,"$500K+")</f>
        <v>$50K–$100K</v>
      </c>
      <c r="J231" s="9" t="str">
        <f t="shared" si="15"/>
        <v>2020s</v>
      </c>
      <c r="K231">
        <f t="shared" si="16"/>
        <v>3.1978816580099809E-2</v>
      </c>
      <c r="L231">
        <f t="shared" si="17"/>
        <v>0.27136258660508084</v>
      </c>
      <c r="M231">
        <f t="shared" si="18"/>
        <v>0.76595744680851063</v>
      </c>
      <c r="N231">
        <f t="shared" si="19"/>
        <v>0.3564329499978971</v>
      </c>
    </row>
    <row r="232" spans="1:14">
      <c r="A232" t="s">
        <v>12</v>
      </c>
      <c r="B232" t="s">
        <v>69</v>
      </c>
      <c r="C232">
        <v>2022</v>
      </c>
      <c r="D232">
        <v>5.2</v>
      </c>
      <c r="E232">
        <v>630</v>
      </c>
      <c r="F232">
        <v>516</v>
      </c>
      <c r="G232">
        <v>3.5</v>
      </c>
      <c r="H232" s="4">
        <v>207000</v>
      </c>
      <c r="I232" s="8" t="str" cm="1">
        <f t="array" ref="I232">_xlfn.IFS(H232&lt;50000,"Under $50K", H232&lt;100000,"$50K–$100K",
     H232&lt;200000,"$100K–$200K", H232&lt;500000,"$200K–$500K",
     H232&gt;=500000,"$500K+")</f>
        <v>$200K–$500K</v>
      </c>
      <c r="J232" s="9" t="str">
        <f t="shared" si="15"/>
        <v>2020s</v>
      </c>
      <c r="K232">
        <f t="shared" si="16"/>
        <v>4.5727670842244626E-2</v>
      </c>
      <c r="L232">
        <f t="shared" si="17"/>
        <v>0.29792147806004621</v>
      </c>
      <c r="M232">
        <f t="shared" si="18"/>
        <v>0.63829787234042556</v>
      </c>
      <c r="N232">
        <f t="shared" si="19"/>
        <v>0.32731567374757214</v>
      </c>
    </row>
    <row r="233" spans="1:14">
      <c r="A233" t="s">
        <v>14</v>
      </c>
      <c r="B233" t="s">
        <v>80</v>
      </c>
      <c r="C233">
        <v>2022</v>
      </c>
      <c r="D233">
        <v>6</v>
      </c>
      <c r="E233">
        <v>626</v>
      </c>
      <c r="F233">
        <v>664</v>
      </c>
      <c r="G233">
        <v>3.5</v>
      </c>
      <c r="H233" s="4">
        <v>203825</v>
      </c>
      <c r="I233" s="8" t="str" cm="1">
        <f t="array" ref="I233">_xlfn.IFS(H233&lt;50000,"Under $50K", H233&lt;100000,"$50K–$100K",
     H233&lt;200000,"$100K–$200K", H233&lt;500000,"$200K–$500K",
     H233&gt;=500000,"$500K+")</f>
        <v>$200K–$500K</v>
      </c>
      <c r="J233" s="9" t="str">
        <f t="shared" si="15"/>
        <v>2020s</v>
      </c>
      <c r="K233">
        <f t="shared" si="16"/>
        <v>4.5320297382625524E-2</v>
      </c>
      <c r="L233">
        <f t="shared" si="17"/>
        <v>0.38337182448036949</v>
      </c>
      <c r="M233">
        <f t="shared" si="18"/>
        <v>0.63829787234042556</v>
      </c>
      <c r="N233">
        <f t="shared" si="19"/>
        <v>0.35566333140114015</v>
      </c>
    </row>
    <row r="234" spans="1:14">
      <c r="A234" t="s">
        <v>21</v>
      </c>
      <c r="B234" t="s">
        <v>160</v>
      </c>
      <c r="C234">
        <v>2021</v>
      </c>
      <c r="D234">
        <v>5</v>
      </c>
      <c r="E234">
        <v>575</v>
      </c>
      <c r="F234">
        <v>516</v>
      </c>
      <c r="G234">
        <v>3.5</v>
      </c>
      <c r="H234" s="4">
        <v>103200</v>
      </c>
      <c r="I234" s="8" t="str" cm="1">
        <f t="array" ref="I234">_xlfn.IFS(H234&lt;50000,"Under $50K", H234&lt;100000,"$50K–$100K",
     H234&lt;200000,"$100K–$200K", H234&lt;500000,"$200K–$500K",
     H234&gt;=500000,"$500K+")</f>
        <v>$100K–$200K</v>
      </c>
      <c r="J234" s="9" t="str">
        <f t="shared" si="15"/>
        <v>2020s</v>
      </c>
      <c r="K234">
        <f t="shared" si="16"/>
        <v>4.0126285772481923E-2</v>
      </c>
      <c r="L234">
        <f t="shared" si="17"/>
        <v>0.29792147806004621</v>
      </c>
      <c r="M234">
        <f t="shared" si="18"/>
        <v>0.63829787234042556</v>
      </c>
      <c r="N234">
        <f t="shared" si="19"/>
        <v>0.32544854539098456</v>
      </c>
    </row>
    <row r="235" spans="1:14">
      <c r="A235" t="s">
        <v>8</v>
      </c>
      <c r="B235" t="s">
        <v>123</v>
      </c>
      <c r="C235">
        <v>2022</v>
      </c>
      <c r="D235">
        <v>3.5</v>
      </c>
      <c r="E235">
        <v>573</v>
      </c>
      <c r="F235">
        <v>476</v>
      </c>
      <c r="G235">
        <v>2.7</v>
      </c>
      <c r="H235" s="4">
        <v>157500</v>
      </c>
      <c r="I235" s="8" t="str" cm="1">
        <f t="array" ref="I235">_xlfn.IFS(H235&lt;50000,"Under $50K", H235&lt;100000,"$50K–$100K",
     H235&lt;200000,"$100K–$200K", H235&lt;500000,"$200K–$500K",
     H235&gt;=500000,"$500K+")</f>
        <v>$100K–$200K</v>
      </c>
      <c r="J235" s="9" t="str">
        <f t="shared" si="15"/>
        <v>2020s</v>
      </c>
      <c r="K235">
        <f t="shared" si="16"/>
        <v>3.9922599042672369E-2</v>
      </c>
      <c r="L235">
        <f t="shared" si="17"/>
        <v>0.27482678983833719</v>
      </c>
      <c r="M235">
        <f t="shared" si="18"/>
        <v>0.80851063829787229</v>
      </c>
      <c r="N235">
        <f t="shared" si="19"/>
        <v>0.3744200090596273</v>
      </c>
    </row>
    <row r="236" spans="1:14">
      <c r="A236" t="s">
        <v>26</v>
      </c>
      <c r="B236" t="s">
        <v>75</v>
      </c>
      <c r="C236">
        <v>2021</v>
      </c>
      <c r="D236">
        <v>3.5</v>
      </c>
      <c r="E236">
        <v>416</v>
      </c>
      <c r="F236">
        <v>317</v>
      </c>
      <c r="G236">
        <v>3.7</v>
      </c>
      <c r="H236" s="4">
        <v>99800</v>
      </c>
      <c r="I236" s="8" t="str" cm="1">
        <f t="array" ref="I236">_xlfn.IFS(H236&lt;50000,"Under $50K", H236&lt;100000,"$50K–$100K",
     H236&lt;200000,"$100K–$200K", H236&lt;500000,"$200K–$500K",
     H236&gt;=500000,"$500K+")</f>
        <v>$50K–$100K</v>
      </c>
      <c r="J236" s="9" t="str">
        <f t="shared" si="15"/>
        <v>2020s</v>
      </c>
      <c r="K236">
        <f t="shared" si="16"/>
        <v>2.3933190752622468E-2</v>
      </c>
      <c r="L236">
        <f t="shared" si="17"/>
        <v>0.18302540415704388</v>
      </c>
      <c r="M236">
        <f t="shared" si="18"/>
        <v>0.5957446808510638</v>
      </c>
      <c r="N236">
        <f t="shared" si="19"/>
        <v>0.26756775858691006</v>
      </c>
    </row>
    <row r="237" spans="1:14">
      <c r="A237" t="s">
        <v>36</v>
      </c>
      <c r="B237" t="s">
        <v>86</v>
      </c>
      <c r="C237">
        <v>2021</v>
      </c>
      <c r="D237">
        <v>4</v>
      </c>
      <c r="E237">
        <v>414</v>
      </c>
      <c r="F237">
        <v>309</v>
      </c>
      <c r="G237">
        <v>4.2</v>
      </c>
      <c r="H237" s="4">
        <v>100200</v>
      </c>
      <c r="I237" s="8" t="str" cm="1">
        <f t="array" ref="I237">_xlfn.IFS(H237&lt;50000,"Under $50K", H237&lt;100000,"$50K–$100K",
     H237&lt;200000,"$100K–$200K", H237&lt;500000,"$200K–$500K",
     H237&gt;=500000,"$500K+")</f>
        <v>$100K–$200K</v>
      </c>
      <c r="J237" s="9" t="str">
        <f t="shared" si="15"/>
        <v>2020s</v>
      </c>
      <c r="K237">
        <f t="shared" si="16"/>
        <v>2.3729504022812913E-2</v>
      </c>
      <c r="L237">
        <f t="shared" si="17"/>
        <v>0.17840646651270209</v>
      </c>
      <c r="M237">
        <f t="shared" si="18"/>
        <v>0.4893617021276595</v>
      </c>
      <c r="N237">
        <f t="shared" si="19"/>
        <v>0.23049922422105817</v>
      </c>
    </row>
    <row r="238" spans="1:14">
      <c r="A238" t="s">
        <v>9</v>
      </c>
      <c r="B238" t="s">
        <v>161</v>
      </c>
      <c r="C238">
        <v>2020</v>
      </c>
      <c r="D238">
        <v>1.7</v>
      </c>
      <c r="E238">
        <v>237</v>
      </c>
      <c r="F238">
        <v>258</v>
      </c>
      <c r="G238">
        <v>4.0999999999999996</v>
      </c>
      <c r="H238" s="4">
        <v>67150</v>
      </c>
      <c r="I238" s="8" t="str" cm="1">
        <f t="array" ref="I238">_xlfn.IFS(H238&lt;50000,"Under $50K", H238&lt;100000,"$50K–$100K",
     H238&lt;200000,"$100K–$200K", H238&lt;500000,"$200K–$500K",
     H238&gt;=500000,"$500K+")</f>
        <v>$50K–$100K</v>
      </c>
      <c r="J238" s="9" t="str">
        <f t="shared" si="15"/>
        <v>2020s</v>
      </c>
      <c r="K238">
        <f t="shared" si="16"/>
        <v>5.7032284346674811E-3</v>
      </c>
      <c r="L238">
        <f t="shared" si="17"/>
        <v>0.1489607390300231</v>
      </c>
      <c r="M238">
        <f t="shared" si="18"/>
        <v>0.5106382978723405</v>
      </c>
      <c r="N238">
        <f t="shared" si="19"/>
        <v>0.22176742177901035</v>
      </c>
    </row>
    <row r="239" spans="1:14">
      <c r="A239" t="s">
        <v>13</v>
      </c>
      <c r="B239" t="s">
        <v>112</v>
      </c>
      <c r="C239">
        <v>2022</v>
      </c>
      <c r="D239">
        <v>2.9</v>
      </c>
      <c r="E239">
        <v>444</v>
      </c>
      <c r="F239">
        <v>443</v>
      </c>
      <c r="G239">
        <v>3.7</v>
      </c>
      <c r="H239" s="4">
        <v>77250</v>
      </c>
      <c r="I239" s="8" t="str" cm="1">
        <f t="array" ref="I239">_xlfn.IFS(H239&lt;50000,"Under $50K", H239&lt;100000,"$50K–$100K",
     H239&lt;200000,"$100K–$200K", H239&lt;500000,"$200K–$500K",
     H239&gt;=500000,"$500K+")</f>
        <v>$50K–$100K</v>
      </c>
      <c r="J239" s="9" t="str">
        <f t="shared" si="15"/>
        <v>2020s</v>
      </c>
      <c r="K239">
        <f t="shared" si="16"/>
        <v>2.6784804969956208E-2</v>
      </c>
      <c r="L239">
        <f t="shared" si="17"/>
        <v>0.25577367205542723</v>
      </c>
      <c r="M239">
        <f t="shared" si="18"/>
        <v>0.5957446808510638</v>
      </c>
      <c r="N239">
        <f t="shared" si="19"/>
        <v>0.29276771929214912</v>
      </c>
    </row>
    <row r="240" spans="1:14">
      <c r="A240" t="s">
        <v>15</v>
      </c>
      <c r="B240" t="s">
        <v>154</v>
      </c>
      <c r="C240">
        <v>2021</v>
      </c>
      <c r="D240">
        <v>3</v>
      </c>
      <c r="E240">
        <v>405</v>
      </c>
      <c r="F240">
        <v>406</v>
      </c>
      <c r="G240">
        <v>4</v>
      </c>
      <c r="H240" s="4">
        <v>58900</v>
      </c>
      <c r="I240" s="8" t="str" cm="1">
        <f t="array" ref="I240">_xlfn.IFS(H240&lt;50000,"Under $50K", H240&lt;100000,"$50K–$100K",
     H240&lt;200000,"$100K–$200K", H240&lt;500000,"$200K–$500K",
     H240&gt;=500000,"$500K+")</f>
        <v>$50K–$100K</v>
      </c>
      <c r="J240" s="9" t="str">
        <f t="shared" si="15"/>
        <v>2020s</v>
      </c>
      <c r="K240">
        <f t="shared" si="16"/>
        <v>2.2812913738669924E-2</v>
      </c>
      <c r="L240">
        <f t="shared" si="17"/>
        <v>0.23441108545034642</v>
      </c>
      <c r="M240">
        <f t="shared" si="18"/>
        <v>0.53191489361702127</v>
      </c>
      <c r="N240">
        <f t="shared" si="19"/>
        <v>0.26304629760201254</v>
      </c>
    </row>
    <row r="241" spans="1:14">
      <c r="A241" t="s">
        <v>17</v>
      </c>
      <c r="B241" t="s">
        <v>91</v>
      </c>
      <c r="C241">
        <v>2021</v>
      </c>
      <c r="D241">
        <v>6.2</v>
      </c>
      <c r="E241">
        <v>650</v>
      </c>
      <c r="F241">
        <v>650</v>
      </c>
      <c r="G241">
        <v>3.5</v>
      </c>
      <c r="H241" s="4">
        <v>64695</v>
      </c>
      <c r="I241" s="8" t="str" cm="1">
        <f t="array" ref="I241">_xlfn.IFS(H241&lt;50000,"Under $50K", H241&lt;100000,"$50K–$100K",
     H241&lt;200000,"$100K–$200K", H241&lt;500000,"$200K–$500K",
     H241&gt;=500000,"$500K+")</f>
        <v>$50K–$100K</v>
      </c>
      <c r="J241" s="9" t="str">
        <f t="shared" si="15"/>
        <v>2020s</v>
      </c>
      <c r="K241">
        <f t="shared" si="16"/>
        <v>4.7764538140340158E-2</v>
      </c>
      <c r="L241">
        <f t="shared" si="17"/>
        <v>0.37528868360277134</v>
      </c>
      <c r="M241">
        <f t="shared" si="18"/>
        <v>0.63829787234042556</v>
      </c>
      <c r="N241">
        <f t="shared" si="19"/>
        <v>0.35378369802784571</v>
      </c>
    </row>
    <row r="242" spans="1:14">
      <c r="A242" t="s">
        <v>18</v>
      </c>
      <c r="B242" t="s">
        <v>162</v>
      </c>
      <c r="C242">
        <v>2022</v>
      </c>
      <c r="D242">
        <v>6.2</v>
      </c>
      <c r="E242">
        <v>717</v>
      </c>
      <c r="F242">
        <v>650</v>
      </c>
      <c r="G242">
        <v>3.6</v>
      </c>
      <c r="H242" s="4">
        <v>71490</v>
      </c>
      <c r="I242" s="8" t="str" cm="1">
        <f t="array" ref="I242">_xlfn.IFS(H242&lt;50000,"Under $50K", H242&lt;100000,"$50K–$100K",
     H242&lt;200000,"$100K–$200K", H242&lt;500000,"$200K–$500K",
     H242&gt;=500000,"$500K+")</f>
        <v>$50K–$100K</v>
      </c>
      <c r="J242" s="9" t="str">
        <f t="shared" si="15"/>
        <v>2020s</v>
      </c>
      <c r="K242">
        <f t="shared" si="16"/>
        <v>5.4588043588960182E-2</v>
      </c>
      <c r="L242">
        <f t="shared" si="17"/>
        <v>0.37528868360277134</v>
      </c>
      <c r="M242">
        <f t="shared" si="18"/>
        <v>0.61702127659574468</v>
      </c>
      <c r="N242">
        <f t="shared" si="19"/>
        <v>0.34896600126249205</v>
      </c>
    </row>
    <row r="243" spans="1:14">
      <c r="A243" t="s">
        <v>20</v>
      </c>
      <c r="B243" t="s">
        <v>92</v>
      </c>
      <c r="C243">
        <v>2022</v>
      </c>
      <c r="D243">
        <v>3.5</v>
      </c>
      <c r="E243">
        <v>660</v>
      </c>
      <c r="F243">
        <v>550</v>
      </c>
      <c r="G243">
        <v>2.8</v>
      </c>
      <c r="H243" s="4">
        <v>500000</v>
      </c>
      <c r="I243" s="8" t="str" cm="1">
        <f t="array" ref="I243">_xlfn.IFS(H243&lt;50000,"Under $50K", H243&lt;100000,"$50K–$100K",
     H243&lt;200000,"$100K–$200K", H243&lt;500000,"$200K–$500K",
     H243&gt;=500000,"$500K+")</f>
        <v>$500K+</v>
      </c>
      <c r="J243" s="9" t="str">
        <f t="shared" si="15"/>
        <v>2020s</v>
      </c>
      <c r="K243">
        <f t="shared" si="16"/>
        <v>4.8782971789387924E-2</v>
      </c>
      <c r="L243">
        <f t="shared" si="17"/>
        <v>0.31755196304849886</v>
      </c>
      <c r="M243">
        <f t="shared" si="18"/>
        <v>0.78723404255319152</v>
      </c>
      <c r="N243">
        <f t="shared" si="19"/>
        <v>0.38452299246369276</v>
      </c>
    </row>
    <row r="244" spans="1:14">
      <c r="A244" t="s">
        <v>25</v>
      </c>
      <c r="B244" t="s">
        <v>74</v>
      </c>
      <c r="C244">
        <v>2022</v>
      </c>
      <c r="D244">
        <v>5</v>
      </c>
      <c r="E244">
        <v>471</v>
      </c>
      <c r="F244">
        <v>398</v>
      </c>
      <c r="G244">
        <v>4.4000000000000004</v>
      </c>
      <c r="H244" s="4">
        <v>92950</v>
      </c>
      <c r="I244" s="8" t="str" cm="1">
        <f t="array" ref="I244">_xlfn.IFS(H244&lt;50000,"Under $50K", H244&lt;100000,"$50K–$100K",
     H244&lt;200000,"$100K–$200K", H244&lt;500000,"$200K–$500K",
     H244&gt;=500000,"$500K+")</f>
        <v>$50K–$100K</v>
      </c>
      <c r="J244" s="9" t="str">
        <f t="shared" si="15"/>
        <v>2020s</v>
      </c>
      <c r="K244">
        <f t="shared" si="16"/>
        <v>2.9534575822385171E-2</v>
      </c>
      <c r="L244">
        <f t="shared" si="17"/>
        <v>0.22979214780600463</v>
      </c>
      <c r="M244">
        <f t="shared" si="18"/>
        <v>0.44680851063829774</v>
      </c>
      <c r="N244">
        <f t="shared" si="19"/>
        <v>0.23537841142222918</v>
      </c>
    </row>
    <row r="245" spans="1:14">
      <c r="A245" t="s">
        <v>27</v>
      </c>
      <c r="B245" t="s">
        <v>76</v>
      </c>
      <c r="C245">
        <v>2020</v>
      </c>
      <c r="D245">
        <v>4.7</v>
      </c>
      <c r="E245">
        <v>454</v>
      </c>
      <c r="F245">
        <v>384</v>
      </c>
      <c r="G245">
        <v>4.8</v>
      </c>
      <c r="H245" s="4">
        <v>150400</v>
      </c>
      <c r="I245" s="8" t="str" cm="1">
        <f t="array" ref="I245">_xlfn.IFS(H245&lt;50000,"Under $50K", H245&lt;100000,"$50K–$100K",
     H245&lt;200000,"$100K–$200K", H245&lt;500000,"$200K–$500K",
     H245&gt;=500000,"$500K+")</f>
        <v>$100K–$200K</v>
      </c>
      <c r="J245" s="9" t="str">
        <f t="shared" si="15"/>
        <v>2020s</v>
      </c>
      <c r="K245">
        <f t="shared" si="16"/>
        <v>2.7803238619003971E-2</v>
      </c>
      <c r="L245">
        <f t="shared" si="17"/>
        <v>0.22170900692840648</v>
      </c>
      <c r="M245">
        <f t="shared" si="18"/>
        <v>0.36170212765957455</v>
      </c>
      <c r="N245">
        <f t="shared" si="19"/>
        <v>0.20373812440232833</v>
      </c>
    </row>
    <row r="246" spans="1:14">
      <c r="A246" t="s">
        <v>32</v>
      </c>
      <c r="B246" t="s">
        <v>93</v>
      </c>
      <c r="C246">
        <v>2021</v>
      </c>
      <c r="D246">
        <v>3.7</v>
      </c>
      <c r="E246">
        <v>350</v>
      </c>
      <c r="F246">
        <v>276</v>
      </c>
      <c r="G246">
        <v>4.5999999999999996</v>
      </c>
      <c r="H246" s="4">
        <v>47820</v>
      </c>
      <c r="I246" s="8" t="str" cm="1">
        <f t="array" ref="I246">_xlfn.IFS(H246&lt;50000,"Under $50K", H246&lt;100000,"$50K–$100K",
     H246&lt;200000,"$100K–$200K", H246&lt;500000,"$200K–$500K",
     H246&gt;=500000,"$500K+")</f>
        <v>Under $50K</v>
      </c>
      <c r="J246" s="9" t="str">
        <f t="shared" si="15"/>
        <v>2020s</v>
      </c>
      <c r="K246">
        <f t="shared" si="16"/>
        <v>1.7211528668907222E-2</v>
      </c>
      <c r="L246">
        <f t="shared" si="17"/>
        <v>0.15935334872979215</v>
      </c>
      <c r="M246">
        <f t="shared" si="18"/>
        <v>0.4042553191489362</v>
      </c>
      <c r="N246">
        <f t="shared" si="19"/>
        <v>0.1936067321825452</v>
      </c>
    </row>
    <row r="247" spans="1:14">
      <c r="A247" t="s">
        <v>38</v>
      </c>
      <c r="B247" t="s">
        <v>126</v>
      </c>
      <c r="C247">
        <v>2022</v>
      </c>
      <c r="D247">
        <v>6.8</v>
      </c>
      <c r="E247">
        <v>624</v>
      </c>
      <c r="F247">
        <v>605</v>
      </c>
      <c r="G247">
        <v>4.4000000000000004</v>
      </c>
      <c r="H247" s="4">
        <v>330000</v>
      </c>
      <c r="I247" s="8" t="str" cm="1">
        <f t="array" ref="I247">_xlfn.IFS(H247&lt;50000,"Under $50K", H247&lt;100000,"$50K–$100K",
     H247&lt;200000,"$100K–$200K", H247&lt;500000,"$200K–$500K",
     H247&gt;=500000,"$500K+")</f>
        <v>$200K–$500K</v>
      </c>
      <c r="J247" s="9" t="str">
        <f t="shared" si="15"/>
        <v>2020s</v>
      </c>
      <c r="K247">
        <f t="shared" si="16"/>
        <v>4.5116610652815969E-2</v>
      </c>
      <c r="L247">
        <f t="shared" si="17"/>
        <v>0.34930715935334872</v>
      </c>
      <c r="M247">
        <f t="shared" si="18"/>
        <v>0.44680851063829774</v>
      </c>
      <c r="N247">
        <f t="shared" si="19"/>
        <v>0.28041076021482081</v>
      </c>
    </row>
    <row r="248" spans="1:14">
      <c r="A248" t="s">
        <v>40</v>
      </c>
      <c r="B248" t="s">
        <v>163</v>
      </c>
      <c r="C248">
        <v>2021</v>
      </c>
      <c r="D248">
        <v>2.5</v>
      </c>
      <c r="E248">
        <v>310</v>
      </c>
      <c r="F248">
        <v>290</v>
      </c>
      <c r="G248">
        <v>4.5999999999999996</v>
      </c>
      <c r="H248" s="4">
        <v>38170</v>
      </c>
      <c r="I248" s="8" t="str" cm="1">
        <f t="array" ref="I248">_xlfn.IFS(H248&lt;50000,"Under $50K", H248&lt;100000,"$50K–$100K",
     H248&lt;200000,"$100K–$200K", H248&lt;500000,"$200K–$500K",
     H248&gt;=500000,"$500K+")</f>
        <v>Under $50K</v>
      </c>
      <c r="J248" s="9" t="str">
        <f t="shared" si="15"/>
        <v>2020s</v>
      </c>
      <c r="K248">
        <f t="shared" si="16"/>
        <v>1.3137794072716162E-2</v>
      </c>
      <c r="L248">
        <f t="shared" si="17"/>
        <v>0.1674364896073903</v>
      </c>
      <c r="M248">
        <f t="shared" si="18"/>
        <v>0.4042553191489362</v>
      </c>
      <c r="N248">
        <f t="shared" si="19"/>
        <v>0.19494320094301423</v>
      </c>
    </row>
    <row r="249" spans="1:14">
      <c r="A249" t="s">
        <v>41</v>
      </c>
      <c r="B249" t="s">
        <v>143</v>
      </c>
      <c r="C249">
        <v>2022</v>
      </c>
      <c r="D249" t="s">
        <v>141</v>
      </c>
      <c r="E249">
        <v>1020</v>
      </c>
      <c r="F249">
        <v>1050</v>
      </c>
      <c r="G249">
        <v>1.9</v>
      </c>
      <c r="H249" s="4">
        <v>131190</v>
      </c>
      <c r="I249" s="8" t="str" cm="1">
        <f t="array" ref="I249">_xlfn.IFS(H249&lt;50000,"Under $50K", H249&lt;100000,"$50K–$100K",
     H249&lt;200000,"$100K–$200K", H249&lt;500000,"$200K–$500K",
     H249&gt;=500000,"$500K+")</f>
        <v>$100K–$200K</v>
      </c>
      <c r="J249" s="9" t="str">
        <f t="shared" si="15"/>
        <v>2020s</v>
      </c>
      <c r="K249">
        <f t="shared" si="16"/>
        <v>8.5446583155107447E-2</v>
      </c>
      <c r="L249">
        <f t="shared" si="17"/>
        <v>0.60623556581986138</v>
      </c>
      <c r="M249">
        <f t="shared" si="18"/>
        <v>0.97872340425531923</v>
      </c>
      <c r="N249">
        <f t="shared" si="19"/>
        <v>0.55680185107676261</v>
      </c>
    </row>
    <row r="250" spans="1:14">
      <c r="A250" t="s">
        <v>36</v>
      </c>
      <c r="B250" t="s">
        <v>86</v>
      </c>
      <c r="C250">
        <v>2021</v>
      </c>
      <c r="D250">
        <v>4</v>
      </c>
      <c r="E250">
        <v>414</v>
      </c>
      <c r="F250">
        <v>309</v>
      </c>
      <c r="G250">
        <v>4.2</v>
      </c>
      <c r="H250" s="4">
        <v>102000</v>
      </c>
      <c r="I250" s="8" t="str" cm="1">
        <f t="array" ref="I250">_xlfn.IFS(H250&lt;50000,"Under $50K", H250&lt;100000,"$50K–$100K",
     H250&lt;200000,"$100K–$200K", H250&lt;500000,"$200K–$500K",
     H250&gt;=500000,"$500K+")</f>
        <v>$100K–$200K</v>
      </c>
      <c r="J250" s="9" t="str">
        <f t="shared" si="15"/>
        <v>2020s</v>
      </c>
      <c r="K250">
        <f t="shared" si="16"/>
        <v>2.3729504022812913E-2</v>
      </c>
      <c r="L250">
        <f t="shared" si="17"/>
        <v>0.17840646651270209</v>
      </c>
      <c r="M250">
        <f t="shared" si="18"/>
        <v>0.4893617021276595</v>
      </c>
      <c r="N250">
        <f t="shared" si="19"/>
        <v>0.23049922422105817</v>
      </c>
    </row>
    <row r="251" spans="1:14">
      <c r="A251" t="s">
        <v>24</v>
      </c>
      <c r="B251" t="s">
        <v>115</v>
      </c>
      <c r="C251">
        <v>2021</v>
      </c>
      <c r="D251">
        <v>6.5</v>
      </c>
      <c r="E251">
        <v>729</v>
      </c>
      <c r="F251">
        <v>507</v>
      </c>
      <c r="G251">
        <v>2.9</v>
      </c>
      <c r="H251" s="4">
        <v>393695</v>
      </c>
      <c r="I251" s="8" t="str" cm="1">
        <f t="array" ref="I251">_xlfn.IFS(H251&lt;50000,"Under $50K", H251&lt;100000,"$50K–$100K",
     H251&lt;200000,"$100K–$200K", H251&lt;500000,"$200K–$500K",
     H251&gt;=500000,"$500K+")</f>
        <v>$200K–$500K</v>
      </c>
      <c r="J251" s="9" t="str">
        <f t="shared" si="15"/>
        <v>2020s</v>
      </c>
      <c r="K251">
        <f t="shared" si="16"/>
        <v>5.5810163967817496E-2</v>
      </c>
      <c r="L251">
        <f t="shared" si="17"/>
        <v>0.29272517321016167</v>
      </c>
      <c r="M251">
        <f t="shared" si="18"/>
        <v>0.76595744680851063</v>
      </c>
      <c r="N251">
        <f t="shared" si="19"/>
        <v>0.37149759466216326</v>
      </c>
    </row>
    <row r="252" spans="1:14">
      <c r="A252" t="s">
        <v>19</v>
      </c>
      <c r="B252" t="s">
        <v>134</v>
      </c>
      <c r="C252">
        <v>2022</v>
      </c>
      <c r="D252">
        <v>3.9</v>
      </c>
      <c r="E252">
        <v>591</v>
      </c>
      <c r="F252">
        <v>413</v>
      </c>
      <c r="G252">
        <v>3.3</v>
      </c>
      <c r="H252" s="4">
        <v>218750</v>
      </c>
      <c r="I252" s="8" t="str" cm="1">
        <f t="array" ref="I252">_xlfn.IFS(H252&lt;50000,"Under $50K", H252&lt;100000,"$50K–$100K",
     H252&lt;200000,"$100K–$200K", H252&lt;500000,"$200K–$500K",
     H252&gt;=500000,"$500K+")</f>
        <v>$200K–$500K</v>
      </c>
      <c r="J252" s="9" t="str">
        <f t="shared" si="15"/>
        <v>2020s</v>
      </c>
      <c r="K252">
        <f t="shared" si="16"/>
        <v>4.1755779610958346E-2</v>
      </c>
      <c r="L252">
        <f t="shared" si="17"/>
        <v>0.23845265588914549</v>
      </c>
      <c r="M252">
        <f t="shared" si="18"/>
        <v>0.68085106382978733</v>
      </c>
      <c r="N252">
        <f t="shared" si="19"/>
        <v>0.32035316644329703</v>
      </c>
    </row>
    <row r="253" spans="1:14">
      <c r="A253" t="s">
        <v>13</v>
      </c>
      <c r="B253" t="s">
        <v>89</v>
      </c>
      <c r="C253">
        <v>2021</v>
      </c>
      <c r="D253">
        <v>4</v>
      </c>
      <c r="E253">
        <v>591</v>
      </c>
      <c r="F253">
        <v>590</v>
      </c>
      <c r="G253">
        <v>3.5</v>
      </c>
      <c r="H253" s="4">
        <v>114000</v>
      </c>
      <c r="I253" s="8" t="str" cm="1">
        <f t="array" ref="I253">_xlfn.IFS(H253&lt;50000,"Under $50K", H253&lt;100000,"$50K–$100K",
     H253&lt;200000,"$100K–$200K", H253&lt;500000,"$200K–$500K",
     H253&gt;=500000,"$500K+")</f>
        <v>$100K–$200K</v>
      </c>
      <c r="J253" s="9" t="str">
        <f t="shared" si="15"/>
        <v>2020s</v>
      </c>
      <c r="K253">
        <f t="shared" si="16"/>
        <v>4.1755779610958346E-2</v>
      </c>
      <c r="L253">
        <f t="shared" si="17"/>
        <v>0.34064665127020788</v>
      </c>
      <c r="M253">
        <f t="shared" si="18"/>
        <v>0.63829787234042556</v>
      </c>
      <c r="N253">
        <f t="shared" si="19"/>
        <v>0.34023343440719728</v>
      </c>
    </row>
    <row r="254" spans="1:14">
      <c r="A254" t="s">
        <v>29</v>
      </c>
      <c r="B254" t="s">
        <v>110</v>
      </c>
      <c r="C254">
        <v>2021</v>
      </c>
      <c r="D254">
        <v>3.8</v>
      </c>
      <c r="E254">
        <v>592</v>
      </c>
      <c r="F254">
        <v>457</v>
      </c>
      <c r="G254">
        <v>2.8</v>
      </c>
      <c r="H254" s="4">
        <v>256500</v>
      </c>
      <c r="I254" s="8" t="str" cm="1">
        <f t="array" ref="I254">_xlfn.IFS(H254&lt;50000,"Under $50K", H254&lt;100000,"$50K–$100K",
     H254&lt;200000,"$100K–$200K", H254&lt;500000,"$200K–$500K",
     H254&gt;=500000,"$500K+")</f>
        <v>$200K–$500K</v>
      </c>
      <c r="J254" s="9" t="str">
        <f t="shared" si="15"/>
        <v>2020s</v>
      </c>
      <c r="K254">
        <f t="shared" si="16"/>
        <v>4.1857622975863124E-2</v>
      </c>
      <c r="L254">
        <f t="shared" si="17"/>
        <v>0.26385681293302543</v>
      </c>
      <c r="M254">
        <f t="shared" si="18"/>
        <v>0.78723404255319152</v>
      </c>
      <c r="N254">
        <f t="shared" si="19"/>
        <v>0.36431615948736001</v>
      </c>
    </row>
    <row r="255" spans="1:14">
      <c r="A255" t="s">
        <v>15</v>
      </c>
      <c r="B255" t="s">
        <v>113</v>
      </c>
      <c r="C255">
        <v>2022</v>
      </c>
      <c r="D255">
        <v>3</v>
      </c>
      <c r="E255">
        <v>405</v>
      </c>
      <c r="F255">
        <v>406</v>
      </c>
      <c r="G255">
        <v>4</v>
      </c>
      <c r="H255" s="4">
        <v>58900</v>
      </c>
      <c r="I255" s="8" t="str" cm="1">
        <f t="array" ref="I255">_xlfn.IFS(H255&lt;50000,"Under $50K", H255&lt;100000,"$50K–$100K",
     H255&lt;200000,"$100K–$200K", H255&lt;500000,"$200K–$500K",
     H255&gt;=500000,"$500K+")</f>
        <v>$50K–$100K</v>
      </c>
      <c r="J255" s="9" t="str">
        <f t="shared" si="15"/>
        <v>2020s</v>
      </c>
      <c r="K255">
        <f t="shared" si="16"/>
        <v>2.2812913738669924E-2</v>
      </c>
      <c r="L255">
        <f t="shared" si="17"/>
        <v>0.23441108545034642</v>
      </c>
      <c r="M255">
        <f t="shared" si="18"/>
        <v>0.53191489361702127</v>
      </c>
      <c r="N255">
        <f t="shared" si="19"/>
        <v>0.26304629760201254</v>
      </c>
    </row>
    <row r="256" spans="1:14">
      <c r="A256" t="s">
        <v>31</v>
      </c>
      <c r="B256" t="s">
        <v>65</v>
      </c>
      <c r="C256">
        <v>2021</v>
      </c>
      <c r="D256">
        <v>4</v>
      </c>
      <c r="E256">
        <v>523</v>
      </c>
      <c r="F256">
        <v>494</v>
      </c>
      <c r="G256">
        <v>3.8</v>
      </c>
      <c r="H256" s="4">
        <v>118500</v>
      </c>
      <c r="I256" s="8" t="str" cm="1">
        <f t="array" ref="I256">_xlfn.IFS(H256&lt;50000,"Under $50K", H256&lt;100000,"$50K–$100K",
     H256&lt;200000,"$100K–$200K", H256&lt;500000,"$200K–$500K",
     H256&gt;=500000,"$500K+")</f>
        <v>$100K–$200K</v>
      </c>
      <c r="J256" s="9" t="str">
        <f t="shared" si="15"/>
        <v>2020s</v>
      </c>
      <c r="K256">
        <f t="shared" si="16"/>
        <v>3.4830430797433545E-2</v>
      </c>
      <c r="L256">
        <f t="shared" si="17"/>
        <v>0.28521939953810621</v>
      </c>
      <c r="M256">
        <f t="shared" si="18"/>
        <v>0.57446808510638303</v>
      </c>
      <c r="N256">
        <f t="shared" si="19"/>
        <v>0.29817263848064091</v>
      </c>
    </row>
    <row r="257" spans="1:14">
      <c r="A257" t="s">
        <v>17</v>
      </c>
      <c r="B257" t="s">
        <v>105</v>
      </c>
      <c r="C257">
        <v>2021</v>
      </c>
      <c r="D257">
        <v>6.2</v>
      </c>
      <c r="E257">
        <v>455</v>
      </c>
      <c r="F257">
        <v>455</v>
      </c>
      <c r="G257">
        <v>4.0999999999999996</v>
      </c>
      <c r="H257" s="4">
        <v>40590</v>
      </c>
      <c r="I257" s="8" t="str" cm="1">
        <f t="array" ref="I257">_xlfn.IFS(H257&lt;50000,"Under $50K", H257&lt;100000,"$50K–$100K",
     H257&lt;200000,"$100K–$200K", H257&lt;500000,"$200K–$500K",
     H257&gt;=500000,"$500K+")</f>
        <v>Under $50K</v>
      </c>
      <c r="J257" s="9" t="str">
        <f t="shared" si="15"/>
        <v>2020s</v>
      </c>
      <c r="K257">
        <f t="shared" si="16"/>
        <v>2.7905081983908748E-2</v>
      </c>
      <c r="L257">
        <f t="shared" si="17"/>
        <v>0.26270207852193994</v>
      </c>
      <c r="M257">
        <f t="shared" si="18"/>
        <v>0.5106382978723405</v>
      </c>
      <c r="N257">
        <f t="shared" si="19"/>
        <v>0.26708181945939641</v>
      </c>
    </row>
    <row r="258" spans="1:14">
      <c r="A258" t="s">
        <v>20</v>
      </c>
      <c r="B258" t="s">
        <v>121</v>
      </c>
      <c r="C258">
        <v>2021</v>
      </c>
      <c r="D258">
        <v>5</v>
      </c>
      <c r="E258">
        <v>480</v>
      </c>
      <c r="F258">
        <v>420</v>
      </c>
      <c r="G258">
        <v>4</v>
      </c>
      <c r="H258" s="4">
        <v>52720</v>
      </c>
      <c r="I258" s="8" t="str" cm="1">
        <f t="array" ref="I258">_xlfn.IFS(H258&lt;50000,"Under $50K", H258&lt;100000,"$50K–$100K",
     H258&lt;200000,"$100K–$200K", H258&lt;500000,"$200K–$500K",
     H258&gt;=500000,"$500K+")</f>
        <v>$50K–$100K</v>
      </c>
      <c r="J258" s="9" t="str">
        <f t="shared" si="15"/>
        <v>2020s</v>
      </c>
      <c r="K258">
        <f t="shared" si="16"/>
        <v>3.045116610652816E-2</v>
      </c>
      <c r="L258">
        <f t="shared" si="17"/>
        <v>0.24249422632794457</v>
      </c>
      <c r="M258">
        <f t="shared" si="18"/>
        <v>0.53191489361702127</v>
      </c>
      <c r="N258">
        <f t="shared" si="19"/>
        <v>0.26828676201716467</v>
      </c>
    </row>
    <row r="259" spans="1:14">
      <c r="A259" t="s">
        <v>32</v>
      </c>
      <c r="B259" t="s">
        <v>93</v>
      </c>
      <c r="C259">
        <v>2021</v>
      </c>
      <c r="D259">
        <v>3.7</v>
      </c>
      <c r="E259">
        <v>350</v>
      </c>
      <c r="F259">
        <v>276</v>
      </c>
      <c r="G259">
        <v>4.5999999999999996</v>
      </c>
      <c r="H259" s="4">
        <v>45000</v>
      </c>
      <c r="I259" s="8" t="str" cm="1">
        <f t="array" ref="I259">_xlfn.IFS(H259&lt;50000,"Under $50K", H259&lt;100000,"$50K–$100K",
     H259&lt;200000,"$100K–$200K", H259&lt;500000,"$200K–$500K",
     H259&gt;=500000,"$500K+")</f>
        <v>Under $50K</v>
      </c>
      <c r="J259" s="9" t="str">
        <f t="shared" ref="J259:J322" si="20">_xlfn.CONCAT(INT(C259/10)*10,"s")</f>
        <v>2020s</v>
      </c>
      <c r="K259">
        <f t="shared" ref="K259:K322" si="21">(E259-MIN($E$2:$E$1008))/(MAX($E$2:$E$1008)-MIN($E$2:$E$1008))</f>
        <v>1.7211528668907222E-2</v>
      </c>
      <c r="L259">
        <f t="shared" ref="L259:L322" si="22">(F259-MIN($F$2:$F$501))/(MAX($F$2:$F$501)-MIN($F$2:$F$501))</f>
        <v>0.15935334872979215</v>
      </c>
      <c r="M259">
        <f t="shared" ref="M259:M322" si="23">1-((G259-MIN($G$2:$G$501))/(MAX($G$2:$G$501)-MIN($G$2:$G$501)))</f>
        <v>0.4042553191489362</v>
      </c>
      <c r="N259">
        <f t="shared" ref="N259:N322" si="24">AVERAGE(K259,L259,M259)</f>
        <v>0.1936067321825452</v>
      </c>
    </row>
    <row r="260" spans="1:14">
      <c r="A260" t="s">
        <v>36</v>
      </c>
      <c r="B260" t="s">
        <v>164</v>
      </c>
      <c r="C260">
        <v>2022</v>
      </c>
      <c r="D260">
        <v>4</v>
      </c>
      <c r="E260">
        <v>620</v>
      </c>
      <c r="F260">
        <v>604</v>
      </c>
      <c r="G260">
        <v>3.1</v>
      </c>
      <c r="H260" s="4">
        <v>174300</v>
      </c>
      <c r="I260" s="8" t="str" cm="1">
        <f t="array" ref="I260">_xlfn.IFS(H260&lt;50000,"Under $50K", H260&lt;100000,"$50K–$100K",
     H260&lt;200000,"$100K–$200K", H260&lt;500000,"$200K–$500K",
     H260&gt;=500000,"$500K+")</f>
        <v>$100K–$200K</v>
      </c>
      <c r="J260" s="9" t="str">
        <f t="shared" si="20"/>
        <v>2020s</v>
      </c>
      <c r="K260">
        <f t="shared" si="21"/>
        <v>4.470923719319686E-2</v>
      </c>
      <c r="L260">
        <f t="shared" si="22"/>
        <v>0.34872979214780603</v>
      </c>
      <c r="M260">
        <f t="shared" si="23"/>
        <v>0.72340425531914887</v>
      </c>
      <c r="N260">
        <f t="shared" si="24"/>
        <v>0.37228109488671723</v>
      </c>
    </row>
    <row r="261" spans="1:14">
      <c r="A261" t="s">
        <v>24</v>
      </c>
      <c r="B261" t="s">
        <v>96</v>
      </c>
      <c r="C261">
        <v>2021</v>
      </c>
      <c r="D261">
        <v>4</v>
      </c>
      <c r="E261">
        <v>641</v>
      </c>
      <c r="F261">
        <v>627</v>
      </c>
      <c r="G261">
        <v>3.2</v>
      </c>
      <c r="H261" s="4">
        <v>222004</v>
      </c>
      <c r="I261" s="8" t="str" cm="1">
        <f t="array" ref="I261">_xlfn.IFS(H261&lt;50000,"Under $50K", H261&lt;100000,"$50K–$100K",
     H261&lt;200000,"$100K–$200K", H261&lt;500000,"$200K–$500K",
     H261&gt;=500000,"$500K+")</f>
        <v>$200K–$500K</v>
      </c>
      <c r="J261" s="9" t="str">
        <f t="shared" si="20"/>
        <v>2020s</v>
      </c>
      <c r="K261">
        <f t="shared" si="21"/>
        <v>4.684794785619717E-2</v>
      </c>
      <c r="L261">
        <f t="shared" si="22"/>
        <v>0.36200923787528866</v>
      </c>
      <c r="M261">
        <f t="shared" si="23"/>
        <v>0.7021276595744681</v>
      </c>
      <c r="N261">
        <f t="shared" si="24"/>
        <v>0.37032828176865129</v>
      </c>
    </row>
    <row r="262" spans="1:14">
      <c r="A262" t="s">
        <v>19</v>
      </c>
      <c r="B262" t="s">
        <v>88</v>
      </c>
      <c r="C262">
        <v>2022</v>
      </c>
      <c r="D262">
        <v>4</v>
      </c>
      <c r="E262">
        <v>986</v>
      </c>
      <c r="F262">
        <v>590</v>
      </c>
      <c r="G262">
        <v>2.5</v>
      </c>
      <c r="H262" s="4">
        <v>625000</v>
      </c>
      <c r="I262" s="8" t="str" cm="1">
        <f t="array" ref="I262">_xlfn.IFS(H262&lt;50000,"Under $50K", H262&lt;100000,"$50K–$100K",
     H262&lt;200000,"$100K–$200K", H262&lt;500000,"$200K–$500K",
     H262&gt;=500000,"$500K+")</f>
        <v>$500K+</v>
      </c>
      <c r="J262" s="9" t="str">
        <f t="shared" si="20"/>
        <v>2020s</v>
      </c>
      <c r="K262">
        <f t="shared" si="21"/>
        <v>8.1983908748345047E-2</v>
      </c>
      <c r="L262">
        <f t="shared" si="22"/>
        <v>0.34064665127020788</v>
      </c>
      <c r="M262">
        <f t="shared" si="23"/>
        <v>0.85106382978723405</v>
      </c>
      <c r="N262">
        <f t="shared" si="24"/>
        <v>0.42456479660192903</v>
      </c>
    </row>
    <row r="263" spans="1:14">
      <c r="A263" t="s">
        <v>13</v>
      </c>
      <c r="B263" t="s">
        <v>118</v>
      </c>
      <c r="C263">
        <v>2022</v>
      </c>
      <c r="D263">
        <v>2.5</v>
      </c>
      <c r="E263">
        <v>394</v>
      </c>
      <c r="F263">
        <v>354</v>
      </c>
      <c r="G263">
        <v>3.4</v>
      </c>
      <c r="H263" s="4">
        <v>67895</v>
      </c>
      <c r="I263" s="8" t="str" cm="1">
        <f t="array" ref="I263">_xlfn.IFS(H263&lt;50000,"Under $50K", H263&lt;100000,"$50K–$100K",
     H263&lt;200000,"$100K–$200K", H263&lt;500000,"$200K–$500K",
     H263&gt;=500000,"$500K+")</f>
        <v>$50K–$100K</v>
      </c>
      <c r="J263" s="9" t="str">
        <f t="shared" si="20"/>
        <v>2020s</v>
      </c>
      <c r="K263">
        <f t="shared" si="21"/>
        <v>2.1692636724717385E-2</v>
      </c>
      <c r="L263">
        <f t="shared" si="22"/>
        <v>0.20438799076212472</v>
      </c>
      <c r="M263">
        <f t="shared" si="23"/>
        <v>0.65957446808510645</v>
      </c>
      <c r="N263">
        <f t="shared" si="24"/>
        <v>0.29521836519064953</v>
      </c>
    </row>
    <row r="264" spans="1:14">
      <c r="A264" t="s">
        <v>29</v>
      </c>
      <c r="B264" t="s">
        <v>92</v>
      </c>
      <c r="C264">
        <v>2021</v>
      </c>
      <c r="D264">
        <v>4</v>
      </c>
      <c r="E264">
        <v>612</v>
      </c>
      <c r="F264">
        <v>465</v>
      </c>
      <c r="G264">
        <v>3.1</v>
      </c>
      <c r="H264" s="4">
        <v>210000</v>
      </c>
      <c r="I264" s="8" t="str" cm="1">
        <f t="array" ref="I264">_xlfn.IFS(H264&lt;50000,"Under $50K", H264&lt;100000,"$50K–$100K",
     H264&lt;200000,"$100K–$200K", H264&lt;500000,"$200K–$500K",
     H264&gt;=500000,"$500K+")</f>
        <v>$200K–$500K</v>
      </c>
      <c r="J264" s="9" t="str">
        <f t="shared" si="20"/>
        <v>2020s</v>
      </c>
      <c r="K264">
        <f t="shared" si="21"/>
        <v>4.3894490273958649E-2</v>
      </c>
      <c r="L264">
        <f t="shared" si="22"/>
        <v>0.26847575057736722</v>
      </c>
      <c r="M264">
        <f t="shared" si="23"/>
        <v>0.72340425531914887</v>
      </c>
      <c r="N264">
        <f t="shared" si="24"/>
        <v>0.34525816539015824</v>
      </c>
    </row>
    <row r="265" spans="1:14">
      <c r="A265" t="s">
        <v>18</v>
      </c>
      <c r="B265" t="s">
        <v>71</v>
      </c>
      <c r="C265">
        <v>2021</v>
      </c>
      <c r="D265">
        <v>6.2</v>
      </c>
      <c r="E265">
        <v>717</v>
      </c>
      <c r="F265">
        <v>656</v>
      </c>
      <c r="G265">
        <v>3.5</v>
      </c>
      <c r="H265" s="4">
        <v>62290</v>
      </c>
      <c r="I265" s="8" t="str" cm="1">
        <f t="array" ref="I265">_xlfn.IFS(H265&lt;50000,"Under $50K", H265&lt;100000,"$50K–$100K",
     H265&lt;200000,"$100K–$200K", H265&lt;500000,"$200K–$500K",
     H265&gt;=500000,"$500K+")</f>
        <v>$50K–$100K</v>
      </c>
      <c r="J265" s="9" t="str">
        <f t="shared" si="20"/>
        <v>2020s</v>
      </c>
      <c r="K265">
        <f t="shared" si="21"/>
        <v>5.4588043588960182E-2</v>
      </c>
      <c r="L265">
        <f t="shared" si="22"/>
        <v>0.3787528868360277</v>
      </c>
      <c r="M265">
        <f t="shared" si="23"/>
        <v>0.63829787234042556</v>
      </c>
      <c r="N265">
        <f t="shared" si="24"/>
        <v>0.35721293425513778</v>
      </c>
    </row>
    <row r="266" spans="1:14">
      <c r="A266" t="s">
        <v>12</v>
      </c>
      <c r="B266" t="s">
        <v>132</v>
      </c>
      <c r="C266">
        <v>2021</v>
      </c>
      <c r="D266">
        <v>5.2</v>
      </c>
      <c r="E266">
        <v>715</v>
      </c>
      <c r="F266">
        <v>663</v>
      </c>
      <c r="G266">
        <v>3.2</v>
      </c>
      <c r="H266" s="4">
        <v>304995</v>
      </c>
      <c r="I266" s="8" t="str" cm="1">
        <f t="array" ref="I266">_xlfn.IFS(H266&lt;50000,"Under $50K", H266&lt;100000,"$50K–$100K",
     H266&lt;200000,"$100K–$200K", H266&lt;500000,"$200K–$500K",
     H266&gt;=500000,"$500K+")</f>
        <v>$200K–$500K</v>
      </c>
      <c r="J266" s="9" t="str">
        <f t="shared" si="20"/>
        <v>2020s</v>
      </c>
      <c r="K266">
        <f t="shared" si="21"/>
        <v>5.4384356859150627E-2</v>
      </c>
      <c r="L266">
        <f t="shared" si="22"/>
        <v>0.3827944572748268</v>
      </c>
      <c r="M266">
        <f t="shared" si="23"/>
        <v>0.7021276595744681</v>
      </c>
      <c r="N266">
        <f t="shared" si="24"/>
        <v>0.37976882456948186</v>
      </c>
    </row>
    <row r="267" spans="1:14">
      <c r="A267" t="s">
        <v>21</v>
      </c>
      <c r="B267" t="s">
        <v>160</v>
      </c>
      <c r="C267">
        <v>2021</v>
      </c>
      <c r="D267">
        <v>5</v>
      </c>
      <c r="E267">
        <v>575</v>
      </c>
      <c r="F267">
        <v>516</v>
      </c>
      <c r="G267">
        <v>3.5</v>
      </c>
      <c r="H267" s="4">
        <v>103200</v>
      </c>
      <c r="I267" s="8" t="str" cm="1">
        <f t="array" ref="I267">_xlfn.IFS(H267&lt;50000,"Under $50K", H267&lt;100000,"$50K–$100K",
     H267&lt;200000,"$100K–$200K", H267&lt;500000,"$200K–$500K",
     H267&gt;=500000,"$500K+")</f>
        <v>$100K–$200K</v>
      </c>
      <c r="J267" s="9" t="str">
        <f t="shared" si="20"/>
        <v>2020s</v>
      </c>
      <c r="K267">
        <f t="shared" si="21"/>
        <v>4.0126285772481923E-2</v>
      </c>
      <c r="L267">
        <f t="shared" si="22"/>
        <v>0.29792147806004621</v>
      </c>
      <c r="M267">
        <f t="shared" si="23"/>
        <v>0.63829787234042556</v>
      </c>
      <c r="N267">
        <f t="shared" si="24"/>
        <v>0.32544854539098456</v>
      </c>
    </row>
    <row r="268" spans="1:14">
      <c r="A268" t="s">
        <v>25</v>
      </c>
      <c r="B268" t="s">
        <v>74</v>
      </c>
      <c r="C268">
        <v>2022</v>
      </c>
      <c r="D268">
        <v>5</v>
      </c>
      <c r="E268">
        <v>471</v>
      </c>
      <c r="F268">
        <v>398</v>
      </c>
      <c r="G268">
        <v>4.4000000000000004</v>
      </c>
      <c r="H268" s="4">
        <v>93050</v>
      </c>
      <c r="I268" s="8" t="str" cm="1">
        <f t="array" ref="I268">_xlfn.IFS(H268&lt;50000,"Under $50K", H268&lt;100000,"$50K–$100K",
     H268&lt;200000,"$100K–$200K", H268&lt;500000,"$200K–$500K",
     H268&gt;=500000,"$500K+")</f>
        <v>$50K–$100K</v>
      </c>
      <c r="J268" s="9" t="str">
        <f t="shared" si="20"/>
        <v>2020s</v>
      </c>
      <c r="K268">
        <f t="shared" si="21"/>
        <v>2.9534575822385171E-2</v>
      </c>
      <c r="L268">
        <f t="shared" si="22"/>
        <v>0.22979214780600463</v>
      </c>
      <c r="M268">
        <f t="shared" si="23"/>
        <v>0.44680851063829774</v>
      </c>
      <c r="N268">
        <f t="shared" si="24"/>
        <v>0.23537841142222918</v>
      </c>
    </row>
    <row r="269" spans="1:14">
      <c r="A269" t="s">
        <v>36</v>
      </c>
      <c r="B269" t="s">
        <v>86</v>
      </c>
      <c r="C269">
        <v>2022</v>
      </c>
      <c r="D269">
        <v>4</v>
      </c>
      <c r="E269">
        <v>414</v>
      </c>
      <c r="F269">
        <v>309</v>
      </c>
      <c r="G269">
        <v>4.2</v>
      </c>
      <c r="H269" s="4">
        <v>101200</v>
      </c>
      <c r="I269" s="8" t="str" cm="1">
        <f t="array" ref="I269">_xlfn.IFS(H269&lt;50000,"Under $50K", H269&lt;100000,"$50K–$100K",
     H269&lt;200000,"$100K–$200K", H269&lt;500000,"$200K–$500K",
     H269&gt;=500000,"$500K+")</f>
        <v>$100K–$200K</v>
      </c>
      <c r="J269" s="9" t="str">
        <f t="shared" si="20"/>
        <v>2020s</v>
      </c>
      <c r="K269">
        <f t="shared" si="21"/>
        <v>2.3729504022812913E-2</v>
      </c>
      <c r="L269">
        <f t="shared" si="22"/>
        <v>0.17840646651270209</v>
      </c>
      <c r="M269">
        <f t="shared" si="23"/>
        <v>0.4893617021276595</v>
      </c>
      <c r="N269">
        <f t="shared" si="24"/>
        <v>0.23049922422105817</v>
      </c>
    </row>
    <row r="270" spans="1:14">
      <c r="A270" t="s">
        <v>15</v>
      </c>
      <c r="B270" t="s">
        <v>154</v>
      </c>
      <c r="C270">
        <v>2022</v>
      </c>
      <c r="D270">
        <v>3</v>
      </c>
      <c r="E270">
        <v>405</v>
      </c>
      <c r="F270">
        <v>406</v>
      </c>
      <c r="G270">
        <v>4</v>
      </c>
      <c r="H270" s="4">
        <v>59895</v>
      </c>
      <c r="I270" s="8" t="str" cm="1">
        <f t="array" ref="I270">_xlfn.IFS(H270&lt;50000,"Under $50K", H270&lt;100000,"$50K–$100K",
     H270&lt;200000,"$100K–$200K", H270&lt;500000,"$200K–$500K",
     H270&gt;=500000,"$500K+")</f>
        <v>$50K–$100K</v>
      </c>
      <c r="J270" s="9" t="str">
        <f t="shared" si="20"/>
        <v>2020s</v>
      </c>
      <c r="K270">
        <f t="shared" si="21"/>
        <v>2.2812913738669924E-2</v>
      </c>
      <c r="L270">
        <f t="shared" si="22"/>
        <v>0.23441108545034642</v>
      </c>
      <c r="M270">
        <f t="shared" si="23"/>
        <v>0.53191489361702127</v>
      </c>
      <c r="N270">
        <f t="shared" si="24"/>
        <v>0.26304629760201254</v>
      </c>
    </row>
    <row r="271" spans="1:14">
      <c r="A271" t="s">
        <v>13</v>
      </c>
      <c r="B271" t="s">
        <v>165</v>
      </c>
      <c r="C271">
        <v>2021</v>
      </c>
      <c r="D271">
        <v>2.9</v>
      </c>
      <c r="E271">
        <v>444</v>
      </c>
      <c r="F271">
        <v>443</v>
      </c>
      <c r="G271">
        <v>3.7</v>
      </c>
      <c r="H271" s="4">
        <v>75100</v>
      </c>
      <c r="I271" s="8" t="str" cm="1">
        <f t="array" ref="I271">_xlfn.IFS(H271&lt;50000,"Under $50K", H271&lt;100000,"$50K–$100K",
     H271&lt;200000,"$100K–$200K", H271&lt;500000,"$200K–$500K",
     H271&gt;=500000,"$500K+")</f>
        <v>$50K–$100K</v>
      </c>
      <c r="J271" s="9" t="str">
        <f t="shared" si="20"/>
        <v>2020s</v>
      </c>
      <c r="K271">
        <f t="shared" si="21"/>
        <v>2.6784804969956208E-2</v>
      </c>
      <c r="L271">
        <f t="shared" si="22"/>
        <v>0.25577367205542723</v>
      </c>
      <c r="M271">
        <f t="shared" si="23"/>
        <v>0.5957446808510638</v>
      </c>
      <c r="N271">
        <f t="shared" si="24"/>
        <v>0.29276771929214912</v>
      </c>
    </row>
    <row r="272" spans="1:14">
      <c r="A272" t="s">
        <v>17</v>
      </c>
      <c r="B272" t="s">
        <v>91</v>
      </c>
      <c r="C272">
        <v>2021</v>
      </c>
      <c r="D272">
        <v>6.2</v>
      </c>
      <c r="E272">
        <v>650</v>
      </c>
      <c r="F272">
        <v>650</v>
      </c>
      <c r="G272">
        <v>3.5</v>
      </c>
      <c r="H272" s="4">
        <v>64195</v>
      </c>
      <c r="I272" s="8" t="str" cm="1">
        <f t="array" ref="I272">_xlfn.IFS(H272&lt;50000,"Under $50K", H272&lt;100000,"$50K–$100K",
     H272&lt;200000,"$100K–$200K", H272&lt;500000,"$200K–$500K",
     H272&gt;=500000,"$500K+")</f>
        <v>$50K–$100K</v>
      </c>
      <c r="J272" s="9" t="str">
        <f t="shared" si="20"/>
        <v>2020s</v>
      </c>
      <c r="K272">
        <f t="shared" si="21"/>
        <v>4.7764538140340158E-2</v>
      </c>
      <c r="L272">
        <f t="shared" si="22"/>
        <v>0.37528868360277134</v>
      </c>
      <c r="M272">
        <f t="shared" si="23"/>
        <v>0.63829787234042556</v>
      </c>
      <c r="N272">
        <f t="shared" si="24"/>
        <v>0.35378369802784571</v>
      </c>
    </row>
    <row r="273" spans="1:14">
      <c r="A273" t="s">
        <v>26</v>
      </c>
      <c r="B273" t="s">
        <v>75</v>
      </c>
      <c r="C273">
        <v>2022</v>
      </c>
      <c r="D273">
        <v>3.5</v>
      </c>
      <c r="E273">
        <v>416</v>
      </c>
      <c r="F273">
        <v>317</v>
      </c>
      <c r="G273">
        <v>3.8</v>
      </c>
      <c r="H273" s="4">
        <v>105000</v>
      </c>
      <c r="I273" s="8" t="str" cm="1">
        <f t="array" ref="I273">_xlfn.IFS(H273&lt;50000,"Under $50K", H273&lt;100000,"$50K–$100K",
     H273&lt;200000,"$100K–$200K", H273&lt;500000,"$200K–$500K",
     H273&gt;=500000,"$500K+")</f>
        <v>$100K–$200K</v>
      </c>
      <c r="J273" s="9" t="str">
        <f t="shared" si="20"/>
        <v>2020s</v>
      </c>
      <c r="K273">
        <f t="shared" si="21"/>
        <v>2.3933190752622468E-2</v>
      </c>
      <c r="L273">
        <f t="shared" si="22"/>
        <v>0.18302540415704388</v>
      </c>
      <c r="M273">
        <f t="shared" si="23"/>
        <v>0.57446808510638303</v>
      </c>
      <c r="N273">
        <f t="shared" si="24"/>
        <v>0.26047556000534983</v>
      </c>
    </row>
    <row r="274" spans="1:14">
      <c r="A274" t="s">
        <v>29</v>
      </c>
      <c r="B274" t="s">
        <v>92</v>
      </c>
      <c r="C274">
        <v>2021</v>
      </c>
      <c r="D274">
        <v>4</v>
      </c>
      <c r="E274">
        <v>612</v>
      </c>
      <c r="F274">
        <v>465</v>
      </c>
      <c r="G274">
        <v>3.1</v>
      </c>
      <c r="H274" s="4">
        <v>211000</v>
      </c>
      <c r="I274" s="8" t="str" cm="1">
        <f t="array" ref="I274">_xlfn.IFS(H274&lt;50000,"Under $50K", H274&lt;100000,"$50K–$100K",
     H274&lt;200000,"$100K–$200K", H274&lt;500000,"$200K–$500K",
     H274&gt;=500000,"$500K+")</f>
        <v>$200K–$500K</v>
      </c>
      <c r="J274" s="9" t="str">
        <f t="shared" si="20"/>
        <v>2020s</v>
      </c>
      <c r="K274">
        <f t="shared" si="21"/>
        <v>4.3894490273958649E-2</v>
      </c>
      <c r="L274">
        <f t="shared" si="22"/>
        <v>0.26847575057736722</v>
      </c>
      <c r="M274">
        <f t="shared" si="23"/>
        <v>0.72340425531914887</v>
      </c>
      <c r="N274">
        <f t="shared" si="24"/>
        <v>0.34525816539015824</v>
      </c>
    </row>
    <row r="275" spans="1:14">
      <c r="A275" t="s">
        <v>31</v>
      </c>
      <c r="B275" t="s">
        <v>166</v>
      </c>
      <c r="C275">
        <v>2014</v>
      </c>
      <c r="D275">
        <v>6.2</v>
      </c>
      <c r="E275">
        <v>622</v>
      </c>
      <c r="F275">
        <v>468</v>
      </c>
      <c r="G275">
        <v>3.5</v>
      </c>
      <c r="H275" s="4">
        <v>275000</v>
      </c>
      <c r="I275" s="8" t="str" cm="1">
        <f t="array" ref="I275">_xlfn.IFS(H275&lt;50000,"Under $50K", H275&lt;100000,"$50K–$100K",
     H275&lt;200000,"$100K–$200K", H275&lt;500000,"$200K–$500K",
     H275&gt;=500000,"$500K+")</f>
        <v>$200K–$500K</v>
      </c>
      <c r="J275" s="9" t="str">
        <f t="shared" si="20"/>
        <v>2010s</v>
      </c>
      <c r="K275">
        <f t="shared" si="21"/>
        <v>4.4912923923006415E-2</v>
      </c>
      <c r="L275">
        <f t="shared" si="22"/>
        <v>0.2702078521939954</v>
      </c>
      <c r="M275">
        <f t="shared" si="23"/>
        <v>0.63829787234042556</v>
      </c>
      <c r="N275">
        <f t="shared" si="24"/>
        <v>0.31780621615247578</v>
      </c>
    </row>
    <row r="276" spans="1:14">
      <c r="A276" t="s">
        <v>16</v>
      </c>
      <c r="B276" t="s">
        <v>70</v>
      </c>
      <c r="C276">
        <v>2021</v>
      </c>
      <c r="D276">
        <v>8</v>
      </c>
      <c r="E276">
        <v>1500</v>
      </c>
      <c r="F276">
        <v>1180</v>
      </c>
      <c r="G276">
        <v>2.4</v>
      </c>
      <c r="H276" s="4">
        <v>2998000</v>
      </c>
      <c r="I276" s="8" t="str" cm="1">
        <f t="array" ref="I276">_xlfn.IFS(H276&lt;50000,"Under $50K", H276&lt;100000,"$50K–$100K",
     H276&lt;200000,"$100K–$200K", H276&lt;500000,"$200K–$500K",
     H276&gt;=500000,"$500K+")</f>
        <v>$500K+</v>
      </c>
      <c r="J276" s="9" t="str">
        <f t="shared" si="20"/>
        <v>2020s</v>
      </c>
      <c r="K276">
        <f t="shared" si="21"/>
        <v>0.13433139830940014</v>
      </c>
      <c r="L276">
        <f t="shared" si="22"/>
        <v>0.68129330254041576</v>
      </c>
      <c r="M276">
        <f t="shared" si="23"/>
        <v>0.87234042553191493</v>
      </c>
      <c r="N276">
        <f t="shared" si="24"/>
        <v>0.5626550421272436</v>
      </c>
    </row>
    <row r="277" spans="1:14">
      <c r="A277" t="s">
        <v>23</v>
      </c>
      <c r="B277" t="s">
        <v>73</v>
      </c>
      <c r="C277">
        <v>2021</v>
      </c>
      <c r="D277">
        <v>5</v>
      </c>
      <c r="E277">
        <v>1280</v>
      </c>
      <c r="F277">
        <v>1015</v>
      </c>
      <c r="G277">
        <v>2.5</v>
      </c>
      <c r="H277" s="4">
        <v>3000000</v>
      </c>
      <c r="I277" s="8" t="str" cm="1">
        <f t="array" ref="I277">_xlfn.IFS(H277&lt;50000,"Under $50K", H277&lt;100000,"$50K–$100K",
     H277&lt;200000,"$100K–$200K", H277&lt;500000,"$200K–$500K",
     H277&gt;=500000,"$500K+")</f>
        <v>$500K+</v>
      </c>
      <c r="J277" s="9" t="str">
        <f t="shared" si="20"/>
        <v>2020s</v>
      </c>
      <c r="K277">
        <f t="shared" si="21"/>
        <v>0.11192585803034932</v>
      </c>
      <c r="L277">
        <f t="shared" si="22"/>
        <v>0.58602771362586603</v>
      </c>
      <c r="M277">
        <f t="shared" si="23"/>
        <v>0.85106382978723405</v>
      </c>
      <c r="N277">
        <f t="shared" si="24"/>
        <v>0.51633913381448304</v>
      </c>
    </row>
    <row r="278" spans="1:14">
      <c r="A278" t="s">
        <v>19</v>
      </c>
      <c r="B278" t="s">
        <v>88</v>
      </c>
      <c r="C278">
        <v>2021</v>
      </c>
      <c r="D278">
        <v>4</v>
      </c>
      <c r="E278">
        <v>986</v>
      </c>
      <c r="F278">
        <v>590</v>
      </c>
      <c r="G278">
        <v>2.5</v>
      </c>
      <c r="H278" s="4">
        <v>625000</v>
      </c>
      <c r="I278" s="8" t="str" cm="1">
        <f t="array" ref="I278">_xlfn.IFS(H278&lt;50000,"Under $50K", H278&lt;100000,"$50K–$100K",
     H278&lt;200000,"$100K–$200K", H278&lt;500000,"$200K–$500K",
     H278&gt;=500000,"$500K+")</f>
        <v>$500K+</v>
      </c>
      <c r="J278" s="9" t="str">
        <f t="shared" si="20"/>
        <v>2020s</v>
      </c>
      <c r="K278">
        <f t="shared" si="21"/>
        <v>8.1983908748345047E-2</v>
      </c>
      <c r="L278">
        <f t="shared" si="22"/>
        <v>0.34064665127020788</v>
      </c>
      <c r="M278">
        <f t="shared" si="23"/>
        <v>0.85106382978723405</v>
      </c>
      <c r="N278">
        <f t="shared" si="24"/>
        <v>0.42456479660192903</v>
      </c>
    </row>
    <row r="279" spans="1:14">
      <c r="A279" t="s">
        <v>24</v>
      </c>
      <c r="B279" t="s">
        <v>87</v>
      </c>
      <c r="C279">
        <v>2020</v>
      </c>
      <c r="D279">
        <v>6.5</v>
      </c>
      <c r="E279">
        <v>770</v>
      </c>
      <c r="F279">
        <v>531</v>
      </c>
      <c r="G279">
        <v>2.8</v>
      </c>
      <c r="H279" s="4">
        <v>573966</v>
      </c>
      <c r="I279" s="8" t="str" cm="1">
        <f t="array" ref="I279">_xlfn.IFS(H279&lt;50000,"Under $50K", H279&lt;100000,"$50K–$100K",
     H279&lt;200000,"$100K–$200K", H279&lt;500000,"$200K–$500K",
     H279&gt;=500000,"$500K+")</f>
        <v>$500K+</v>
      </c>
      <c r="J279" s="9" t="str">
        <f t="shared" si="20"/>
        <v>2020s</v>
      </c>
      <c r="K279">
        <f t="shared" si="21"/>
        <v>5.998574192891333E-2</v>
      </c>
      <c r="L279">
        <f t="shared" si="22"/>
        <v>0.30658198614318705</v>
      </c>
      <c r="M279">
        <f t="shared" si="23"/>
        <v>0.78723404255319152</v>
      </c>
      <c r="N279">
        <f t="shared" si="24"/>
        <v>0.38460059020843063</v>
      </c>
    </row>
    <row r="280" spans="1:14">
      <c r="A280" t="s">
        <v>37</v>
      </c>
      <c r="B280" t="s">
        <v>140</v>
      </c>
      <c r="C280">
        <v>2022</v>
      </c>
      <c r="D280" t="s">
        <v>85</v>
      </c>
      <c r="E280">
        <v>1914</v>
      </c>
      <c r="F280">
        <v>1732</v>
      </c>
      <c r="G280">
        <v>1.85</v>
      </c>
      <c r="H280" s="4">
        <v>2400000</v>
      </c>
      <c r="I280" s="8" t="str" cm="1">
        <f t="array" ref="I280">_xlfn.IFS(H280&lt;50000,"Under $50K", H280&lt;100000,"$50K–$100K",
     H280&lt;200000,"$100K–$200K", H280&lt;500000,"$200K–$500K",
     H280&gt;=500000,"$500K+")</f>
        <v>$500K+</v>
      </c>
      <c r="J280" s="9" t="str">
        <f t="shared" si="20"/>
        <v>2020s</v>
      </c>
      <c r="K280">
        <f t="shared" si="21"/>
        <v>0.1764945513799776</v>
      </c>
      <c r="L280">
        <f t="shared" si="22"/>
        <v>1</v>
      </c>
      <c r="M280">
        <f t="shared" si="23"/>
        <v>0.98936170212765961</v>
      </c>
      <c r="N280">
        <f t="shared" si="24"/>
        <v>0.72195208450254578</v>
      </c>
    </row>
    <row r="281" spans="1:14">
      <c r="A281" t="s">
        <v>33</v>
      </c>
      <c r="B281" t="s">
        <v>167</v>
      </c>
      <c r="C281">
        <v>2021</v>
      </c>
      <c r="D281">
        <v>6</v>
      </c>
      <c r="E281">
        <v>791</v>
      </c>
      <c r="F281">
        <v>774</v>
      </c>
      <c r="G281">
        <v>2.5</v>
      </c>
      <c r="H281" s="4">
        <v>3500000</v>
      </c>
      <c r="I281" s="8" t="str" cm="1">
        <f t="array" ref="I281">_xlfn.IFS(H281&lt;50000,"Under $50K", H281&lt;100000,"$50K–$100K",
     H281&lt;200000,"$100K–$200K", H281&lt;500000,"$200K–$500K",
     H281&gt;=500000,"$500K+")</f>
        <v>$500K+</v>
      </c>
      <c r="J281" s="9" t="str">
        <f t="shared" si="20"/>
        <v>2020s</v>
      </c>
      <c r="K281">
        <f t="shared" si="21"/>
        <v>6.212445259191364E-2</v>
      </c>
      <c r="L281">
        <f t="shared" si="22"/>
        <v>0.44688221709006931</v>
      </c>
      <c r="M281">
        <f t="shared" si="23"/>
        <v>0.85106382978723405</v>
      </c>
      <c r="N281">
        <f t="shared" si="24"/>
        <v>0.45335683315640568</v>
      </c>
    </row>
    <row r="282" spans="1:14">
      <c r="A282" t="s">
        <v>34</v>
      </c>
      <c r="B282" t="s">
        <v>168</v>
      </c>
      <c r="C282">
        <v>2022</v>
      </c>
      <c r="D282" t="s">
        <v>85</v>
      </c>
      <c r="E282">
        <v>1874</v>
      </c>
      <c r="F282">
        <v>1696</v>
      </c>
      <c r="G282">
        <v>1.9</v>
      </c>
      <c r="H282" s="4">
        <v>2500000</v>
      </c>
      <c r="I282" s="8" t="str" cm="1">
        <f t="array" ref="I282">_xlfn.IFS(H282&lt;50000,"Under $50K", H282&lt;100000,"$50K–$100K",
     H282&lt;200000,"$100K–$200K", H282&lt;500000,"$200K–$500K",
     H282&gt;=500000,"$500K+")</f>
        <v>$500K+</v>
      </c>
      <c r="J282" s="9" t="str">
        <f t="shared" si="20"/>
        <v>2020s</v>
      </c>
      <c r="K282">
        <f t="shared" si="21"/>
        <v>0.17242081678378654</v>
      </c>
      <c r="L282">
        <f t="shared" si="22"/>
        <v>0.97921478060046185</v>
      </c>
      <c r="M282">
        <f t="shared" si="23"/>
        <v>0.97872340425531923</v>
      </c>
      <c r="N282">
        <f t="shared" si="24"/>
        <v>0.71011966721318931</v>
      </c>
    </row>
    <row r="283" spans="1:14">
      <c r="A283" t="s">
        <v>8</v>
      </c>
      <c r="B283" t="s">
        <v>123</v>
      </c>
      <c r="C283">
        <v>2022</v>
      </c>
      <c r="D283">
        <v>3.5</v>
      </c>
      <c r="E283">
        <v>573</v>
      </c>
      <c r="F283">
        <v>476</v>
      </c>
      <c r="G283">
        <v>2.9</v>
      </c>
      <c r="H283" s="4">
        <v>157500</v>
      </c>
      <c r="I283" s="8" t="str" cm="1">
        <f t="array" ref="I283">_xlfn.IFS(H283&lt;50000,"Under $50K", H283&lt;100000,"$50K–$100K",
     H283&lt;200000,"$100K–$200K", H283&lt;500000,"$200K–$500K",
     H283&gt;=500000,"$500K+")</f>
        <v>$100K–$200K</v>
      </c>
      <c r="J283" s="9" t="str">
        <f t="shared" si="20"/>
        <v>2020s</v>
      </c>
      <c r="K283">
        <f t="shared" si="21"/>
        <v>3.9922599042672369E-2</v>
      </c>
      <c r="L283">
        <f t="shared" si="22"/>
        <v>0.27482678983833719</v>
      </c>
      <c r="M283">
        <f t="shared" si="23"/>
        <v>0.76595744680851063</v>
      </c>
      <c r="N283">
        <f t="shared" si="24"/>
        <v>0.36023561189650671</v>
      </c>
    </row>
    <row r="284" spans="1:14">
      <c r="A284" t="s">
        <v>12</v>
      </c>
      <c r="B284" t="s">
        <v>107</v>
      </c>
      <c r="C284">
        <v>2021</v>
      </c>
      <c r="D284">
        <v>4</v>
      </c>
      <c r="E284">
        <v>503</v>
      </c>
      <c r="F284">
        <v>505</v>
      </c>
      <c r="G284">
        <v>3.5</v>
      </c>
      <c r="H284" s="4">
        <v>146000</v>
      </c>
      <c r="I284" s="8" t="str" cm="1">
        <f t="array" ref="I284">_xlfn.IFS(H284&lt;50000,"Under $50K", H284&lt;100000,"$50K–$100K",
     H284&lt;200000,"$100K–$200K", H284&lt;500000,"$200K–$500K",
     H284&gt;=500000,"$500K+")</f>
        <v>$100K–$200K</v>
      </c>
      <c r="J284" s="9" t="str">
        <f t="shared" si="20"/>
        <v>2020s</v>
      </c>
      <c r="K284">
        <f t="shared" si="21"/>
        <v>3.279356349933802E-2</v>
      </c>
      <c r="L284">
        <f t="shared" si="22"/>
        <v>0.29157043879907624</v>
      </c>
      <c r="M284">
        <f t="shared" si="23"/>
        <v>0.63829787234042556</v>
      </c>
      <c r="N284">
        <f t="shared" si="24"/>
        <v>0.32088729154627993</v>
      </c>
    </row>
    <row r="285" spans="1:14">
      <c r="A285" t="s">
        <v>14</v>
      </c>
      <c r="B285" t="s">
        <v>80</v>
      </c>
      <c r="C285">
        <v>2022</v>
      </c>
      <c r="D285">
        <v>4</v>
      </c>
      <c r="E285">
        <v>542</v>
      </c>
      <c r="F285">
        <v>568</v>
      </c>
      <c r="G285">
        <v>3.9</v>
      </c>
      <c r="H285" s="4">
        <v>219800</v>
      </c>
      <c r="I285" s="8" t="str" cm="1">
        <f t="array" ref="I285">_xlfn.IFS(H285&lt;50000,"Under $50K", H285&lt;100000,"$50K–$100K",
     H285&lt;200000,"$100K–$200K", H285&lt;500000,"$200K–$500K",
     H285&gt;=500000,"$500K+")</f>
        <v>$200K–$500K</v>
      </c>
      <c r="J285" s="9" t="str">
        <f t="shared" si="20"/>
        <v>2020s</v>
      </c>
      <c r="K285">
        <f t="shared" si="21"/>
        <v>3.67654547306243E-2</v>
      </c>
      <c r="L285">
        <f t="shared" si="22"/>
        <v>0.32794457274826788</v>
      </c>
      <c r="M285">
        <f t="shared" si="23"/>
        <v>0.55319148936170226</v>
      </c>
      <c r="N285">
        <f t="shared" si="24"/>
        <v>0.30596717228019815</v>
      </c>
    </row>
    <row r="286" spans="1:14">
      <c r="A286" t="s">
        <v>18</v>
      </c>
      <c r="B286" t="s">
        <v>71</v>
      </c>
      <c r="C286">
        <v>2022</v>
      </c>
      <c r="D286">
        <v>6.2</v>
      </c>
      <c r="E286">
        <v>717</v>
      </c>
      <c r="F286">
        <v>656</v>
      </c>
      <c r="G286">
        <v>3.5</v>
      </c>
      <c r="H286" s="4">
        <v>70000</v>
      </c>
      <c r="I286" s="8" t="str" cm="1">
        <f t="array" ref="I286">_xlfn.IFS(H286&lt;50000,"Under $50K", H286&lt;100000,"$50K–$100K",
     H286&lt;200000,"$100K–$200K", H286&lt;500000,"$200K–$500K",
     H286&gt;=500000,"$500K+")</f>
        <v>$50K–$100K</v>
      </c>
      <c r="J286" s="9" t="str">
        <f t="shared" si="20"/>
        <v>2020s</v>
      </c>
      <c r="K286">
        <f t="shared" si="21"/>
        <v>5.4588043588960182E-2</v>
      </c>
      <c r="L286">
        <f t="shared" si="22"/>
        <v>0.3787528868360277</v>
      </c>
      <c r="M286">
        <f t="shared" si="23"/>
        <v>0.63829787234042556</v>
      </c>
      <c r="N286">
        <f t="shared" si="24"/>
        <v>0.35721293425513778</v>
      </c>
    </row>
    <row r="287" spans="1:14">
      <c r="A287" t="s">
        <v>21</v>
      </c>
      <c r="B287" t="s">
        <v>72</v>
      </c>
      <c r="C287">
        <v>2022</v>
      </c>
      <c r="D287">
        <v>2</v>
      </c>
      <c r="E287">
        <v>296</v>
      </c>
      <c r="F287">
        <v>295</v>
      </c>
      <c r="G287">
        <v>5.4</v>
      </c>
      <c r="H287" s="4">
        <v>61600</v>
      </c>
      <c r="I287" s="8" t="str" cm="1">
        <f t="array" ref="I287">_xlfn.IFS(H287&lt;50000,"Under $50K", H287&lt;100000,"$50K–$100K",
     H287&lt;200000,"$100K–$200K", H287&lt;500000,"$200K–$500K",
     H287&gt;=500000,"$500K+")</f>
        <v>$50K–$100K</v>
      </c>
      <c r="J287" s="9" t="str">
        <f t="shared" si="20"/>
        <v>2020s</v>
      </c>
      <c r="K287">
        <f t="shared" si="21"/>
        <v>1.1711986964049292E-2</v>
      </c>
      <c r="L287">
        <f t="shared" si="22"/>
        <v>0.17032332563510394</v>
      </c>
      <c r="M287">
        <f t="shared" si="23"/>
        <v>0.23404255319148926</v>
      </c>
      <c r="N287">
        <f t="shared" si="24"/>
        <v>0.13869262193021417</v>
      </c>
    </row>
    <row r="288" spans="1:14">
      <c r="A288" t="s">
        <v>22</v>
      </c>
      <c r="B288" t="s">
        <v>169</v>
      </c>
      <c r="C288">
        <v>2022</v>
      </c>
      <c r="D288">
        <v>3.3</v>
      </c>
      <c r="E288">
        <v>368</v>
      </c>
      <c r="F288">
        <v>376</v>
      </c>
      <c r="G288">
        <v>4.7</v>
      </c>
      <c r="H288" s="4">
        <v>52200</v>
      </c>
      <c r="I288" s="8" t="str" cm="1">
        <f t="array" ref="I288">_xlfn.IFS(H288&lt;50000,"Under $50K", H288&lt;100000,"$50K–$100K",
     H288&lt;200000,"$100K–$200K", H288&lt;500000,"$200K–$500K",
     H288&gt;=500000,"$500K+")</f>
        <v>$50K–$100K</v>
      </c>
      <c r="J288" s="9" t="str">
        <f t="shared" si="20"/>
        <v>2020s</v>
      </c>
      <c r="K288">
        <f t="shared" si="21"/>
        <v>1.9044709237193196E-2</v>
      </c>
      <c r="L288">
        <f t="shared" si="22"/>
        <v>0.21709006928406466</v>
      </c>
      <c r="M288">
        <f t="shared" si="23"/>
        <v>0.38297872340425532</v>
      </c>
      <c r="N288">
        <f t="shared" si="24"/>
        <v>0.20637116730850438</v>
      </c>
    </row>
    <row r="289" spans="1:14">
      <c r="A289" t="s">
        <v>26</v>
      </c>
      <c r="B289" t="s">
        <v>75</v>
      </c>
      <c r="C289">
        <v>2021</v>
      </c>
      <c r="D289">
        <v>3.5</v>
      </c>
      <c r="E289">
        <v>416</v>
      </c>
      <c r="F289">
        <v>317</v>
      </c>
      <c r="G289">
        <v>3.8</v>
      </c>
      <c r="H289" s="4">
        <v>100450</v>
      </c>
      <c r="I289" s="8" t="str" cm="1">
        <f t="array" ref="I289">_xlfn.IFS(H289&lt;50000,"Under $50K", H289&lt;100000,"$50K–$100K",
     H289&lt;200000,"$100K–$200K", H289&lt;500000,"$200K–$500K",
     H289&gt;=500000,"$500K+")</f>
        <v>$100K–$200K</v>
      </c>
      <c r="J289" s="9" t="str">
        <f t="shared" si="20"/>
        <v>2020s</v>
      </c>
      <c r="K289">
        <f t="shared" si="21"/>
        <v>2.3933190752622468E-2</v>
      </c>
      <c r="L289">
        <f t="shared" si="22"/>
        <v>0.18302540415704388</v>
      </c>
      <c r="M289">
        <f t="shared" si="23"/>
        <v>0.57446808510638303</v>
      </c>
      <c r="N289">
        <f t="shared" si="24"/>
        <v>0.26047556000534983</v>
      </c>
    </row>
    <row r="290" spans="1:14">
      <c r="A290" t="s">
        <v>27</v>
      </c>
      <c r="B290" t="s">
        <v>76</v>
      </c>
      <c r="C290">
        <v>2021</v>
      </c>
      <c r="D290">
        <v>4.7</v>
      </c>
      <c r="E290">
        <v>454</v>
      </c>
      <c r="F290">
        <v>384</v>
      </c>
      <c r="G290">
        <v>4.8</v>
      </c>
      <c r="H290" s="4">
        <v>134300</v>
      </c>
      <c r="I290" s="8" t="str" cm="1">
        <f t="array" ref="I290">_xlfn.IFS(H290&lt;50000,"Under $50K", H290&lt;100000,"$50K–$100K",
     H290&lt;200000,"$100K–$200K", H290&lt;500000,"$200K–$500K",
     H290&gt;=500000,"$500K+")</f>
        <v>$100K–$200K</v>
      </c>
      <c r="J290" s="9" t="str">
        <f t="shared" si="20"/>
        <v>2020s</v>
      </c>
      <c r="K290">
        <f t="shared" si="21"/>
        <v>2.7803238619003971E-2</v>
      </c>
      <c r="L290">
        <f t="shared" si="22"/>
        <v>0.22170900692840648</v>
      </c>
      <c r="M290">
        <f t="shared" si="23"/>
        <v>0.36170212765957455</v>
      </c>
      <c r="N290">
        <f t="shared" si="24"/>
        <v>0.20373812440232833</v>
      </c>
    </row>
    <row r="291" spans="1:14">
      <c r="A291" t="s">
        <v>36</v>
      </c>
      <c r="B291" t="s">
        <v>125</v>
      </c>
      <c r="C291">
        <v>2022</v>
      </c>
      <c r="D291">
        <v>4</v>
      </c>
      <c r="E291">
        <v>414</v>
      </c>
      <c r="F291">
        <v>309</v>
      </c>
      <c r="G291">
        <v>4.2</v>
      </c>
      <c r="H291" s="4">
        <v>102550</v>
      </c>
      <c r="I291" s="8" t="str" cm="1">
        <f t="array" ref="I291">_xlfn.IFS(H291&lt;50000,"Under $50K", H291&lt;100000,"$50K–$100K",
     H291&lt;200000,"$100K–$200K", H291&lt;500000,"$200K–$500K",
     H291&gt;=500000,"$500K+")</f>
        <v>$100K–$200K</v>
      </c>
      <c r="J291" s="9" t="str">
        <f t="shared" si="20"/>
        <v>2020s</v>
      </c>
      <c r="K291">
        <f t="shared" si="21"/>
        <v>2.3729504022812913E-2</v>
      </c>
      <c r="L291">
        <f t="shared" si="22"/>
        <v>0.17840646651270209</v>
      </c>
      <c r="M291">
        <f t="shared" si="23"/>
        <v>0.4893617021276595</v>
      </c>
      <c r="N291">
        <f t="shared" si="24"/>
        <v>0.23049922422105817</v>
      </c>
    </row>
    <row r="292" spans="1:14">
      <c r="A292" t="s">
        <v>9</v>
      </c>
      <c r="B292" t="s">
        <v>78</v>
      </c>
      <c r="C292">
        <v>2021</v>
      </c>
      <c r="D292">
        <v>2.9</v>
      </c>
      <c r="E292">
        <v>505</v>
      </c>
      <c r="F292">
        <v>443</v>
      </c>
      <c r="G292">
        <v>3.8</v>
      </c>
      <c r="H292" s="4">
        <v>76400</v>
      </c>
      <c r="I292" s="8" t="str" cm="1">
        <f t="array" ref="I292">_xlfn.IFS(H292&lt;50000,"Under $50K", H292&lt;100000,"$50K–$100K",
     H292&lt;200000,"$100K–$200K", H292&lt;500000,"$200K–$500K",
     H292&gt;=500000,"$500K+")</f>
        <v>$50K–$100K</v>
      </c>
      <c r="J292" s="9" t="str">
        <f t="shared" si="20"/>
        <v>2020s</v>
      </c>
      <c r="K292">
        <f t="shared" si="21"/>
        <v>3.2997250229147568E-2</v>
      </c>
      <c r="L292">
        <f t="shared" si="22"/>
        <v>0.25577367205542723</v>
      </c>
      <c r="M292">
        <f t="shared" si="23"/>
        <v>0.57446808510638303</v>
      </c>
      <c r="N292">
        <f t="shared" si="24"/>
        <v>0.28774633579698594</v>
      </c>
    </row>
    <row r="293" spans="1:14">
      <c r="A293" t="s">
        <v>13</v>
      </c>
      <c r="B293" t="s">
        <v>89</v>
      </c>
      <c r="C293">
        <v>2021</v>
      </c>
      <c r="D293">
        <v>4</v>
      </c>
      <c r="E293">
        <v>591</v>
      </c>
      <c r="F293">
        <v>590</v>
      </c>
      <c r="G293">
        <v>3.5</v>
      </c>
      <c r="H293" s="4">
        <v>114000</v>
      </c>
      <c r="I293" s="8" t="str" cm="1">
        <f t="array" ref="I293">_xlfn.IFS(H293&lt;50000,"Under $50K", H293&lt;100000,"$50K–$100K",
     H293&lt;200000,"$100K–$200K", H293&lt;500000,"$200K–$500K",
     H293&gt;=500000,"$500K+")</f>
        <v>$100K–$200K</v>
      </c>
      <c r="J293" s="9" t="str">
        <f t="shared" si="20"/>
        <v>2020s</v>
      </c>
      <c r="K293">
        <f t="shared" si="21"/>
        <v>4.1755779610958346E-2</v>
      </c>
      <c r="L293">
        <f t="shared" si="22"/>
        <v>0.34064665127020788</v>
      </c>
      <c r="M293">
        <f t="shared" si="23"/>
        <v>0.63829787234042556</v>
      </c>
      <c r="N293">
        <f t="shared" si="24"/>
        <v>0.34023343440719728</v>
      </c>
    </row>
    <row r="294" spans="1:14">
      <c r="A294" t="s">
        <v>15</v>
      </c>
      <c r="B294" t="s">
        <v>111</v>
      </c>
      <c r="C294">
        <v>2022</v>
      </c>
      <c r="D294">
        <v>4.4000000000000004</v>
      </c>
      <c r="E294">
        <v>600</v>
      </c>
      <c r="F294">
        <v>553</v>
      </c>
      <c r="G294">
        <v>3.2</v>
      </c>
      <c r="H294" s="4">
        <v>103500</v>
      </c>
      <c r="I294" s="8" t="str" cm="1">
        <f t="array" ref="I294">_xlfn.IFS(H294&lt;50000,"Under $50K", H294&lt;100000,"$50K–$100K",
     H294&lt;200000,"$100K–$200K", H294&lt;500000,"$200K–$500K",
     H294&gt;=500000,"$500K+")</f>
        <v>$100K–$200K</v>
      </c>
      <c r="J294" s="9" t="str">
        <f t="shared" si="20"/>
        <v>2020s</v>
      </c>
      <c r="K294">
        <f t="shared" si="21"/>
        <v>4.2672369895101335E-2</v>
      </c>
      <c r="L294">
        <f t="shared" si="22"/>
        <v>0.31928406466512704</v>
      </c>
      <c r="M294">
        <f t="shared" si="23"/>
        <v>0.7021276595744681</v>
      </c>
      <c r="N294">
        <f t="shared" si="24"/>
        <v>0.35469469804489884</v>
      </c>
    </row>
    <row r="295" spans="1:14">
      <c r="A295" t="s">
        <v>17</v>
      </c>
      <c r="B295" t="s">
        <v>91</v>
      </c>
      <c r="C295">
        <v>2022</v>
      </c>
      <c r="D295">
        <v>6.2</v>
      </c>
      <c r="E295">
        <v>650</v>
      </c>
      <c r="F295">
        <v>650</v>
      </c>
      <c r="G295">
        <v>3.5</v>
      </c>
      <c r="H295" s="4">
        <v>69000</v>
      </c>
      <c r="I295" s="8" t="str" cm="1">
        <f t="array" ref="I295">_xlfn.IFS(H295&lt;50000,"Under $50K", H295&lt;100000,"$50K–$100K",
     H295&lt;200000,"$100K–$200K", H295&lt;500000,"$200K–$500K",
     H295&gt;=500000,"$500K+")</f>
        <v>$50K–$100K</v>
      </c>
      <c r="J295" s="9" t="str">
        <f t="shared" si="20"/>
        <v>2020s</v>
      </c>
      <c r="K295">
        <f t="shared" si="21"/>
        <v>4.7764538140340158E-2</v>
      </c>
      <c r="L295">
        <f t="shared" si="22"/>
        <v>0.37528868360277134</v>
      </c>
      <c r="M295">
        <f t="shared" si="23"/>
        <v>0.63829787234042556</v>
      </c>
      <c r="N295">
        <f t="shared" si="24"/>
        <v>0.35378369802784571</v>
      </c>
    </row>
    <row r="296" spans="1:14">
      <c r="A296" t="s">
        <v>20</v>
      </c>
      <c r="B296" t="s">
        <v>92</v>
      </c>
      <c r="C296">
        <v>2022</v>
      </c>
      <c r="D296">
        <v>3.5</v>
      </c>
      <c r="E296">
        <v>660</v>
      </c>
      <c r="F296">
        <v>550</v>
      </c>
      <c r="G296">
        <v>3</v>
      </c>
      <c r="H296" s="4">
        <v>500000</v>
      </c>
      <c r="I296" s="8" t="str" cm="1">
        <f t="array" ref="I296">_xlfn.IFS(H296&lt;50000,"Under $50K", H296&lt;100000,"$50K–$100K",
     H296&lt;200000,"$100K–$200K", H296&lt;500000,"$200K–$500K",
     H296&gt;=500000,"$500K+")</f>
        <v>$500K+</v>
      </c>
      <c r="J296" s="9" t="str">
        <f t="shared" si="20"/>
        <v>2020s</v>
      </c>
      <c r="K296">
        <f t="shared" si="21"/>
        <v>4.8782971789387924E-2</v>
      </c>
      <c r="L296">
        <f t="shared" si="22"/>
        <v>0.31755196304849886</v>
      </c>
      <c r="M296">
        <f t="shared" si="23"/>
        <v>0.74468085106382986</v>
      </c>
      <c r="N296">
        <f t="shared" si="24"/>
        <v>0.37033859530057223</v>
      </c>
    </row>
    <row r="297" spans="1:14">
      <c r="A297" t="s">
        <v>24</v>
      </c>
      <c r="B297" t="s">
        <v>115</v>
      </c>
      <c r="C297">
        <v>2021</v>
      </c>
      <c r="D297">
        <v>6.5</v>
      </c>
      <c r="E297">
        <v>770</v>
      </c>
      <c r="F297">
        <v>531</v>
      </c>
      <c r="G297">
        <v>2.8</v>
      </c>
      <c r="H297" s="4">
        <v>417826</v>
      </c>
      <c r="I297" s="8" t="str" cm="1">
        <f t="array" ref="I297">_xlfn.IFS(H297&lt;50000,"Under $50K", H297&lt;100000,"$50K–$100K",
     H297&lt;200000,"$100K–$200K", H297&lt;500000,"$200K–$500K",
     H297&gt;=500000,"$500K+")</f>
        <v>$200K–$500K</v>
      </c>
      <c r="J297" s="9" t="str">
        <f t="shared" si="20"/>
        <v>2020s</v>
      </c>
      <c r="K297">
        <f t="shared" si="21"/>
        <v>5.998574192891333E-2</v>
      </c>
      <c r="L297">
        <f t="shared" si="22"/>
        <v>0.30658198614318705</v>
      </c>
      <c r="M297">
        <f t="shared" si="23"/>
        <v>0.78723404255319152</v>
      </c>
      <c r="N297">
        <f t="shared" si="24"/>
        <v>0.38460059020843063</v>
      </c>
    </row>
    <row r="298" spans="1:14">
      <c r="A298" t="s">
        <v>29</v>
      </c>
      <c r="B298" t="s">
        <v>81</v>
      </c>
      <c r="C298">
        <v>2021</v>
      </c>
      <c r="D298">
        <v>3</v>
      </c>
      <c r="E298">
        <v>671</v>
      </c>
      <c r="F298">
        <v>531</v>
      </c>
      <c r="G298">
        <v>3</v>
      </c>
      <c r="H298" s="4">
        <v>225000</v>
      </c>
      <c r="I298" s="8" t="str" cm="1">
        <f t="array" ref="I298">_xlfn.IFS(H298&lt;50000,"Under $50K", H298&lt;100000,"$50K–$100K",
     H298&lt;200000,"$100K–$200K", H298&lt;500000,"$200K–$500K",
     H298&gt;=500000,"$500K+")</f>
        <v>$200K–$500K</v>
      </c>
      <c r="J298" s="9" t="str">
        <f t="shared" si="20"/>
        <v>2020s</v>
      </c>
      <c r="K298">
        <f t="shared" si="21"/>
        <v>4.9903248803340461E-2</v>
      </c>
      <c r="L298">
        <f t="shared" si="22"/>
        <v>0.30658198614318705</v>
      </c>
      <c r="M298">
        <f t="shared" si="23"/>
        <v>0.74468085106382986</v>
      </c>
      <c r="N298">
        <f t="shared" si="24"/>
        <v>0.36705536200345246</v>
      </c>
    </row>
    <row r="299" spans="1:14">
      <c r="A299" t="s">
        <v>31</v>
      </c>
      <c r="B299" t="s">
        <v>82</v>
      </c>
      <c r="C299">
        <v>2021</v>
      </c>
      <c r="D299">
        <v>4</v>
      </c>
      <c r="E299">
        <v>577</v>
      </c>
      <c r="F299">
        <v>516</v>
      </c>
      <c r="G299">
        <v>3.6</v>
      </c>
      <c r="H299" s="4">
        <v>247500</v>
      </c>
      <c r="I299" s="8" t="str" cm="1">
        <f t="array" ref="I299">_xlfn.IFS(H299&lt;50000,"Under $50K", H299&lt;100000,"$50K–$100K",
     H299&lt;200000,"$100K–$200K", H299&lt;500000,"$200K–$500K",
     H299&gt;=500000,"$500K+")</f>
        <v>$200K–$500K</v>
      </c>
      <c r="J299" s="9" t="str">
        <f t="shared" si="20"/>
        <v>2020s</v>
      </c>
      <c r="K299">
        <f t="shared" si="21"/>
        <v>4.0329972502291478E-2</v>
      </c>
      <c r="L299">
        <f t="shared" si="22"/>
        <v>0.29792147806004621</v>
      </c>
      <c r="M299">
        <f t="shared" si="23"/>
        <v>0.61702127659574468</v>
      </c>
      <c r="N299">
        <f t="shared" si="24"/>
        <v>0.31842424238602746</v>
      </c>
    </row>
    <row r="300" spans="1:14">
      <c r="A300" t="s">
        <v>32</v>
      </c>
      <c r="B300" t="s">
        <v>93</v>
      </c>
      <c r="C300">
        <v>2021</v>
      </c>
      <c r="D300">
        <v>3.7</v>
      </c>
      <c r="E300">
        <v>350</v>
      </c>
      <c r="F300">
        <v>276</v>
      </c>
      <c r="G300">
        <v>4.8</v>
      </c>
      <c r="H300" s="4">
        <v>45790</v>
      </c>
      <c r="I300" s="8" t="str" cm="1">
        <f t="array" ref="I300">_xlfn.IFS(H300&lt;50000,"Under $50K", H300&lt;100000,"$50K–$100K",
     H300&lt;200000,"$100K–$200K", H300&lt;500000,"$200K–$500K",
     H300&gt;=500000,"$500K+")</f>
        <v>Under $50K</v>
      </c>
      <c r="J300" s="9" t="str">
        <f t="shared" si="20"/>
        <v>2020s</v>
      </c>
      <c r="K300">
        <f t="shared" si="21"/>
        <v>1.7211528668907222E-2</v>
      </c>
      <c r="L300">
        <f t="shared" si="22"/>
        <v>0.15935334872979215</v>
      </c>
      <c r="M300">
        <f t="shared" si="23"/>
        <v>0.36170212765957455</v>
      </c>
      <c r="N300">
        <f t="shared" si="24"/>
        <v>0.17942233501942462</v>
      </c>
    </row>
    <row r="301" spans="1:14">
      <c r="A301" t="s">
        <v>36</v>
      </c>
      <c r="B301" t="s">
        <v>148</v>
      </c>
      <c r="C301">
        <v>2022</v>
      </c>
      <c r="D301" t="s">
        <v>85</v>
      </c>
      <c r="E301">
        <v>616</v>
      </c>
      <c r="F301">
        <v>774</v>
      </c>
      <c r="G301">
        <v>2.6</v>
      </c>
      <c r="H301" s="4">
        <v>79900</v>
      </c>
      <c r="I301" s="8" t="str" cm="1">
        <f t="array" ref="I301">_xlfn.IFS(H301&lt;50000,"Under $50K", H301&lt;100000,"$50K–$100K",
     H301&lt;200000,"$100K–$200K", H301&lt;500000,"$200K–$500K",
     H301&gt;=500000,"$500K+")</f>
        <v>$50K–$100K</v>
      </c>
      <c r="J301" s="9" t="str">
        <f t="shared" si="20"/>
        <v>2020s</v>
      </c>
      <c r="K301">
        <f t="shared" si="21"/>
        <v>4.4301863733577758E-2</v>
      </c>
      <c r="L301">
        <f t="shared" si="22"/>
        <v>0.44688221709006931</v>
      </c>
      <c r="M301">
        <f t="shared" si="23"/>
        <v>0.82978723404255317</v>
      </c>
      <c r="N301">
        <f t="shared" si="24"/>
        <v>0.44032377162206676</v>
      </c>
    </row>
    <row r="302" spans="1:14">
      <c r="A302" t="s">
        <v>41</v>
      </c>
      <c r="B302" t="s">
        <v>170</v>
      </c>
      <c r="C302">
        <v>2022</v>
      </c>
      <c r="D302" t="s">
        <v>85</v>
      </c>
      <c r="E302">
        <v>1020</v>
      </c>
      <c r="F302">
        <v>1050</v>
      </c>
      <c r="G302">
        <v>1.98</v>
      </c>
      <c r="H302" s="4">
        <v>119000</v>
      </c>
      <c r="I302" s="8" t="str" cm="1">
        <f t="array" ref="I302">_xlfn.IFS(H302&lt;50000,"Under $50K", H302&lt;100000,"$50K–$100K",
     H302&lt;200000,"$100K–$200K", H302&lt;500000,"$200K–$500K",
     H302&gt;=500000,"$500K+")</f>
        <v>$100K–$200K</v>
      </c>
      <c r="J302" s="9" t="str">
        <f t="shared" si="20"/>
        <v>2020s</v>
      </c>
      <c r="K302">
        <f t="shared" si="21"/>
        <v>8.5446583155107447E-2</v>
      </c>
      <c r="L302">
        <f t="shared" si="22"/>
        <v>0.60623556581986138</v>
      </c>
      <c r="M302">
        <f t="shared" si="23"/>
        <v>0.96170212765957452</v>
      </c>
      <c r="N302">
        <f t="shared" si="24"/>
        <v>0.55112809221151438</v>
      </c>
    </row>
    <row r="303" spans="1:14">
      <c r="A303" t="s">
        <v>12</v>
      </c>
      <c r="B303" t="s">
        <v>132</v>
      </c>
      <c r="C303">
        <v>2022</v>
      </c>
      <c r="D303">
        <v>5.2</v>
      </c>
      <c r="E303">
        <v>715</v>
      </c>
      <c r="F303">
        <v>664</v>
      </c>
      <c r="G303">
        <v>3.2</v>
      </c>
      <c r="H303" s="4">
        <v>307820</v>
      </c>
      <c r="I303" s="8" t="str" cm="1">
        <f t="array" ref="I303">_xlfn.IFS(H303&lt;50000,"Under $50K", H303&lt;100000,"$50K–$100K",
     H303&lt;200000,"$100K–$200K", H303&lt;500000,"$200K–$500K",
     H303&gt;=500000,"$500K+")</f>
        <v>$200K–$500K</v>
      </c>
      <c r="J303" s="9" t="str">
        <f t="shared" si="20"/>
        <v>2020s</v>
      </c>
      <c r="K303">
        <f t="shared" si="21"/>
        <v>5.4384356859150627E-2</v>
      </c>
      <c r="L303">
        <f t="shared" si="22"/>
        <v>0.38337182448036949</v>
      </c>
      <c r="M303">
        <f t="shared" si="23"/>
        <v>0.7021276595744681</v>
      </c>
      <c r="N303">
        <f t="shared" si="24"/>
        <v>0.37996128030466275</v>
      </c>
    </row>
    <row r="304" spans="1:14">
      <c r="A304" t="s">
        <v>14</v>
      </c>
      <c r="B304" t="s">
        <v>80</v>
      </c>
      <c r="C304">
        <v>2022</v>
      </c>
      <c r="D304">
        <v>4</v>
      </c>
      <c r="E304">
        <v>542</v>
      </c>
      <c r="F304">
        <v>568</v>
      </c>
      <c r="G304">
        <v>3.4</v>
      </c>
      <c r="H304" s="4">
        <v>207825</v>
      </c>
      <c r="I304" s="8" t="str" cm="1">
        <f t="array" ref="I304">_xlfn.IFS(H304&lt;50000,"Under $50K", H304&lt;100000,"$50K–$100K",
     H304&lt;200000,"$100K–$200K", H304&lt;500000,"$200K–$500K",
     H304&gt;=500000,"$500K+")</f>
        <v>$200K–$500K</v>
      </c>
      <c r="J304" s="9" t="str">
        <f t="shared" si="20"/>
        <v>2020s</v>
      </c>
      <c r="K304">
        <f t="shared" si="21"/>
        <v>3.67654547306243E-2</v>
      </c>
      <c r="L304">
        <f t="shared" si="22"/>
        <v>0.32794457274826788</v>
      </c>
      <c r="M304">
        <f t="shared" si="23"/>
        <v>0.65957446808510645</v>
      </c>
      <c r="N304">
        <f t="shared" si="24"/>
        <v>0.34142816518799957</v>
      </c>
    </row>
    <row r="305" spans="1:14">
      <c r="A305" t="s">
        <v>16</v>
      </c>
      <c r="B305" t="s">
        <v>70</v>
      </c>
      <c r="C305">
        <v>2021</v>
      </c>
      <c r="D305">
        <v>8</v>
      </c>
      <c r="E305">
        <v>1479</v>
      </c>
      <c r="F305">
        <v>1180</v>
      </c>
      <c r="G305">
        <v>2.2999999999999998</v>
      </c>
      <c r="H305" s="4">
        <v>2998000</v>
      </c>
      <c r="I305" s="8" t="str" cm="1">
        <f t="array" ref="I305">_xlfn.IFS(H305&lt;50000,"Under $50K", H305&lt;100000,"$50K–$100K",
     H305&lt;200000,"$100K–$200K", H305&lt;500000,"$200K–$500K",
     H305&gt;=500000,"$500K+")</f>
        <v>$500K+</v>
      </c>
      <c r="J305" s="9" t="str">
        <f t="shared" si="20"/>
        <v>2020s</v>
      </c>
      <c r="K305">
        <f t="shared" si="21"/>
        <v>0.13219268764639983</v>
      </c>
      <c r="L305">
        <f t="shared" si="22"/>
        <v>0.68129330254041576</v>
      </c>
      <c r="M305">
        <f t="shared" si="23"/>
        <v>0.89361702127659581</v>
      </c>
      <c r="N305">
        <f t="shared" si="24"/>
        <v>0.56903433715447049</v>
      </c>
    </row>
    <row r="306" spans="1:14">
      <c r="A306" t="s">
        <v>29</v>
      </c>
      <c r="B306" t="s">
        <v>103</v>
      </c>
      <c r="C306">
        <v>2021</v>
      </c>
      <c r="D306">
        <v>3.8</v>
      </c>
      <c r="E306">
        <v>562</v>
      </c>
      <c r="F306">
        <v>443</v>
      </c>
      <c r="G306">
        <v>3.1</v>
      </c>
      <c r="H306" s="4">
        <v>202500</v>
      </c>
      <c r="I306" s="8" t="str" cm="1">
        <f t="array" ref="I306">_xlfn.IFS(H306&lt;50000,"Under $50K", H306&lt;100000,"$50K–$100K",
     H306&lt;200000,"$100K–$200K", H306&lt;500000,"$200K–$500K",
     H306&gt;=500000,"$500K+")</f>
        <v>$200K–$500K</v>
      </c>
      <c r="J306" s="9" t="str">
        <f t="shared" si="20"/>
        <v>2020s</v>
      </c>
      <c r="K306">
        <f t="shared" si="21"/>
        <v>3.8802322028719832E-2</v>
      </c>
      <c r="L306">
        <f t="shared" si="22"/>
        <v>0.25577367205542723</v>
      </c>
      <c r="M306">
        <f t="shared" si="23"/>
        <v>0.72340425531914887</v>
      </c>
      <c r="N306">
        <f t="shared" si="24"/>
        <v>0.33932674980109861</v>
      </c>
    </row>
    <row r="307" spans="1:14">
      <c r="A307" t="s">
        <v>36</v>
      </c>
      <c r="B307" t="s">
        <v>156</v>
      </c>
      <c r="C307">
        <v>2021</v>
      </c>
      <c r="D307" t="s">
        <v>85</v>
      </c>
      <c r="E307">
        <v>750</v>
      </c>
      <c r="F307">
        <v>774</v>
      </c>
      <c r="G307">
        <v>2.6</v>
      </c>
      <c r="H307" s="4">
        <v>185000</v>
      </c>
      <c r="I307" s="8" t="str" cm="1">
        <f t="array" ref="I307">_xlfn.IFS(H307&lt;50000,"Under $50K", H307&lt;100000,"$50K–$100K",
     H307&lt;200000,"$100K–$200K", H307&lt;500000,"$200K–$500K",
     H307&gt;=500000,"$500K+")</f>
        <v>$100K–$200K</v>
      </c>
      <c r="J307" s="9" t="str">
        <f t="shared" si="20"/>
        <v>2020s</v>
      </c>
      <c r="K307">
        <f t="shared" si="21"/>
        <v>5.7948874630817805E-2</v>
      </c>
      <c r="L307">
        <f t="shared" si="22"/>
        <v>0.44688221709006931</v>
      </c>
      <c r="M307">
        <f t="shared" si="23"/>
        <v>0.82978723404255317</v>
      </c>
      <c r="N307">
        <f t="shared" si="24"/>
        <v>0.4448727752544801</v>
      </c>
    </row>
    <row r="308" spans="1:14">
      <c r="A308" t="s">
        <v>24</v>
      </c>
      <c r="B308" t="s">
        <v>153</v>
      </c>
      <c r="C308">
        <v>2021</v>
      </c>
      <c r="D308">
        <v>6.5</v>
      </c>
      <c r="E308">
        <v>730</v>
      </c>
      <c r="F308">
        <v>509</v>
      </c>
      <c r="G308">
        <v>2.9</v>
      </c>
      <c r="H308" s="4">
        <v>417826</v>
      </c>
      <c r="I308" s="8" t="str" cm="1">
        <f t="array" ref="I308">_xlfn.IFS(H308&lt;50000,"Under $50K", H308&lt;100000,"$50K–$100K",
     H308&lt;200000,"$100K–$200K", H308&lt;500000,"$200K–$500K",
     H308&gt;=500000,"$500K+")</f>
        <v>$200K–$500K</v>
      </c>
      <c r="J308" s="9" t="str">
        <f t="shared" si="20"/>
        <v>2020s</v>
      </c>
      <c r="K308">
        <f t="shared" si="21"/>
        <v>5.5912007332722273E-2</v>
      </c>
      <c r="L308">
        <f t="shared" si="22"/>
        <v>0.29387990762124711</v>
      </c>
      <c r="M308">
        <f t="shared" si="23"/>
        <v>0.76595744680851063</v>
      </c>
      <c r="N308">
        <f t="shared" si="24"/>
        <v>0.37191645392082667</v>
      </c>
    </row>
    <row r="309" spans="1:14">
      <c r="A309" t="s">
        <v>19</v>
      </c>
      <c r="B309" t="s">
        <v>120</v>
      </c>
      <c r="C309">
        <v>2022</v>
      </c>
      <c r="D309">
        <v>3.9</v>
      </c>
      <c r="E309">
        <v>710</v>
      </c>
      <c r="F309">
        <v>568</v>
      </c>
      <c r="G309">
        <v>2.8</v>
      </c>
      <c r="H309" s="4">
        <v>276550</v>
      </c>
      <c r="I309" s="8" t="str" cm="1">
        <f t="array" ref="I309">_xlfn.IFS(H309&lt;50000,"Under $50K", H309&lt;100000,"$50K–$100K",
     H309&lt;200000,"$100K–$200K", H309&lt;500000,"$200K–$500K",
     H309&gt;=500000,"$500K+")</f>
        <v>$200K–$500K</v>
      </c>
      <c r="J309" s="9" t="str">
        <f t="shared" si="20"/>
        <v>2020s</v>
      </c>
      <c r="K309">
        <f t="shared" si="21"/>
        <v>5.3875140034626741E-2</v>
      </c>
      <c r="L309">
        <f t="shared" si="22"/>
        <v>0.32794457274826788</v>
      </c>
      <c r="M309">
        <f t="shared" si="23"/>
        <v>0.78723404255319152</v>
      </c>
      <c r="N309">
        <f t="shared" si="24"/>
        <v>0.38968458511202869</v>
      </c>
    </row>
    <row r="310" spans="1:14">
      <c r="A310" t="s">
        <v>13</v>
      </c>
      <c r="B310" t="s">
        <v>152</v>
      </c>
      <c r="C310">
        <v>2022</v>
      </c>
      <c r="D310">
        <v>4</v>
      </c>
      <c r="E310">
        <v>591</v>
      </c>
      <c r="F310">
        <v>590</v>
      </c>
      <c r="G310">
        <v>3.5</v>
      </c>
      <c r="H310" s="4">
        <v>114000</v>
      </c>
      <c r="I310" s="8" t="str" cm="1">
        <f t="array" ref="I310">_xlfn.IFS(H310&lt;50000,"Under $50K", H310&lt;100000,"$50K–$100K",
     H310&lt;200000,"$100K–$200K", H310&lt;500000,"$200K–$500K",
     H310&gt;=500000,"$500K+")</f>
        <v>$100K–$200K</v>
      </c>
      <c r="J310" s="9" t="str">
        <f t="shared" si="20"/>
        <v>2020s</v>
      </c>
      <c r="K310">
        <f t="shared" si="21"/>
        <v>4.1755779610958346E-2</v>
      </c>
      <c r="L310">
        <f t="shared" si="22"/>
        <v>0.34064665127020788</v>
      </c>
      <c r="M310">
        <f t="shared" si="23"/>
        <v>0.63829787234042556</v>
      </c>
      <c r="N310">
        <f t="shared" si="24"/>
        <v>0.34023343440719728</v>
      </c>
    </row>
    <row r="311" spans="1:14">
      <c r="A311" t="s">
        <v>15</v>
      </c>
      <c r="B311" t="s">
        <v>138</v>
      </c>
      <c r="C311">
        <v>2022</v>
      </c>
      <c r="D311">
        <v>3</v>
      </c>
      <c r="E311">
        <v>444</v>
      </c>
      <c r="F311">
        <v>406</v>
      </c>
      <c r="G311">
        <v>4</v>
      </c>
      <c r="H311" s="4">
        <v>84595</v>
      </c>
      <c r="I311" s="8" t="str" cm="1">
        <f t="array" ref="I311">_xlfn.IFS(H311&lt;50000,"Under $50K", H311&lt;100000,"$50K–$100K",
     H311&lt;200000,"$100K–$200K", H311&lt;500000,"$200K–$500K",
     H311&gt;=500000,"$500K+")</f>
        <v>$50K–$100K</v>
      </c>
      <c r="J311" s="9" t="str">
        <f t="shared" si="20"/>
        <v>2020s</v>
      </c>
      <c r="K311">
        <f t="shared" si="21"/>
        <v>2.6784804969956208E-2</v>
      </c>
      <c r="L311">
        <f t="shared" si="22"/>
        <v>0.23441108545034642</v>
      </c>
      <c r="M311">
        <f t="shared" si="23"/>
        <v>0.53191489361702127</v>
      </c>
      <c r="N311">
        <f t="shared" si="24"/>
        <v>0.26437026134577463</v>
      </c>
    </row>
    <row r="312" spans="1:14">
      <c r="A312" t="s">
        <v>31</v>
      </c>
      <c r="B312" t="s">
        <v>82</v>
      </c>
      <c r="C312">
        <v>2021</v>
      </c>
      <c r="D312">
        <v>6.2</v>
      </c>
      <c r="E312">
        <v>622</v>
      </c>
      <c r="F312">
        <v>468</v>
      </c>
      <c r="G312">
        <v>3.2</v>
      </c>
      <c r="H312" s="4">
        <v>275000</v>
      </c>
      <c r="I312" s="8" t="str" cm="1">
        <f t="array" ref="I312">_xlfn.IFS(H312&lt;50000,"Under $50K", H312&lt;100000,"$50K–$100K",
     H312&lt;200000,"$100K–$200K", H312&lt;500000,"$200K–$500K",
     H312&gt;=500000,"$500K+")</f>
        <v>$200K–$500K</v>
      </c>
      <c r="J312" s="9" t="str">
        <f t="shared" si="20"/>
        <v>2020s</v>
      </c>
      <c r="K312">
        <f t="shared" si="21"/>
        <v>4.4912923923006415E-2</v>
      </c>
      <c r="L312">
        <f t="shared" si="22"/>
        <v>0.2702078521939954</v>
      </c>
      <c r="M312">
        <f t="shared" si="23"/>
        <v>0.7021276595744681</v>
      </c>
      <c r="N312">
        <f t="shared" si="24"/>
        <v>0.33908281189715667</v>
      </c>
    </row>
    <row r="313" spans="1:14">
      <c r="A313" t="s">
        <v>17</v>
      </c>
      <c r="B313" t="s">
        <v>91</v>
      </c>
      <c r="C313">
        <v>2021</v>
      </c>
      <c r="D313">
        <v>6.2</v>
      </c>
      <c r="E313">
        <v>650</v>
      </c>
      <c r="F313">
        <v>650</v>
      </c>
      <c r="G313">
        <v>3.5</v>
      </c>
      <c r="H313" s="4">
        <v>63000</v>
      </c>
      <c r="I313" s="8" t="str" cm="1">
        <f t="array" ref="I313">_xlfn.IFS(H313&lt;50000,"Under $50K", H313&lt;100000,"$50K–$100K",
     H313&lt;200000,"$100K–$200K", H313&lt;500000,"$200K–$500K",
     H313&gt;=500000,"$500K+")</f>
        <v>$50K–$100K</v>
      </c>
      <c r="J313" s="9" t="str">
        <f t="shared" si="20"/>
        <v>2020s</v>
      </c>
      <c r="K313">
        <f t="shared" si="21"/>
        <v>4.7764538140340158E-2</v>
      </c>
      <c r="L313">
        <f t="shared" si="22"/>
        <v>0.37528868360277134</v>
      </c>
      <c r="M313">
        <f t="shared" si="23"/>
        <v>0.63829787234042556</v>
      </c>
      <c r="N313">
        <f t="shared" si="24"/>
        <v>0.35378369802784571</v>
      </c>
    </row>
    <row r="314" spans="1:14">
      <c r="A314" t="s">
        <v>20</v>
      </c>
      <c r="B314" t="s">
        <v>92</v>
      </c>
      <c r="C314">
        <v>2022</v>
      </c>
      <c r="D314">
        <v>3.5</v>
      </c>
      <c r="E314">
        <v>660</v>
      </c>
      <c r="F314">
        <v>550</v>
      </c>
      <c r="G314">
        <v>3</v>
      </c>
      <c r="H314" s="4">
        <v>500000</v>
      </c>
      <c r="I314" s="8" t="str" cm="1">
        <f t="array" ref="I314">_xlfn.IFS(H314&lt;50000,"Under $50K", H314&lt;100000,"$50K–$100K",
     H314&lt;200000,"$100K–$200K", H314&lt;500000,"$200K–$500K",
     H314&gt;=500000,"$500K+")</f>
        <v>$500K+</v>
      </c>
      <c r="J314" s="9" t="str">
        <f t="shared" si="20"/>
        <v>2020s</v>
      </c>
      <c r="K314">
        <f t="shared" si="21"/>
        <v>4.8782971789387924E-2</v>
      </c>
      <c r="L314">
        <f t="shared" si="22"/>
        <v>0.31755196304849886</v>
      </c>
      <c r="M314">
        <f t="shared" si="23"/>
        <v>0.74468085106382986</v>
      </c>
      <c r="N314">
        <f t="shared" si="24"/>
        <v>0.37033859530057223</v>
      </c>
    </row>
    <row r="315" spans="1:14">
      <c r="A315" t="s">
        <v>21</v>
      </c>
      <c r="B315" t="s">
        <v>72</v>
      </c>
      <c r="C315">
        <v>2021</v>
      </c>
      <c r="D315">
        <v>5</v>
      </c>
      <c r="E315">
        <v>575</v>
      </c>
      <c r="F315">
        <v>516</v>
      </c>
      <c r="G315">
        <v>3.5</v>
      </c>
      <c r="H315" s="4">
        <v>103200</v>
      </c>
      <c r="I315" s="8" t="str" cm="1">
        <f t="array" ref="I315">_xlfn.IFS(H315&lt;50000,"Under $50K", H315&lt;100000,"$50K–$100K",
     H315&lt;200000,"$100K–$200K", H315&lt;500000,"$200K–$500K",
     H315&gt;=500000,"$500K+")</f>
        <v>$100K–$200K</v>
      </c>
      <c r="J315" s="9" t="str">
        <f t="shared" si="20"/>
        <v>2020s</v>
      </c>
      <c r="K315">
        <f t="shared" si="21"/>
        <v>4.0126285772481923E-2</v>
      </c>
      <c r="L315">
        <f t="shared" si="22"/>
        <v>0.29792147806004621</v>
      </c>
      <c r="M315">
        <f t="shared" si="23"/>
        <v>0.63829787234042556</v>
      </c>
      <c r="N315">
        <f t="shared" si="24"/>
        <v>0.32544854539098456</v>
      </c>
    </row>
    <row r="316" spans="1:14">
      <c r="A316" t="s">
        <v>26</v>
      </c>
      <c r="B316" t="s">
        <v>75</v>
      </c>
      <c r="C316">
        <v>2021</v>
      </c>
      <c r="D316">
        <v>3.5</v>
      </c>
      <c r="E316">
        <v>416</v>
      </c>
      <c r="F316">
        <v>317</v>
      </c>
      <c r="G316">
        <v>3.8</v>
      </c>
      <c r="H316" s="4">
        <v>96950</v>
      </c>
      <c r="I316" s="8" t="str" cm="1">
        <f t="array" ref="I316">_xlfn.IFS(H316&lt;50000,"Under $50K", H316&lt;100000,"$50K–$100K",
     H316&lt;200000,"$100K–$200K", H316&lt;500000,"$200K–$500K",
     H316&gt;=500000,"$500K+")</f>
        <v>$50K–$100K</v>
      </c>
      <c r="J316" s="9" t="str">
        <f t="shared" si="20"/>
        <v>2020s</v>
      </c>
      <c r="K316">
        <f t="shared" si="21"/>
        <v>2.3933190752622468E-2</v>
      </c>
      <c r="L316">
        <f t="shared" si="22"/>
        <v>0.18302540415704388</v>
      </c>
      <c r="M316">
        <f t="shared" si="23"/>
        <v>0.57446808510638303</v>
      </c>
      <c r="N316">
        <f t="shared" si="24"/>
        <v>0.26047556000534983</v>
      </c>
    </row>
    <row r="317" spans="1:14">
      <c r="A317" t="s">
        <v>27</v>
      </c>
      <c r="B317" t="s">
        <v>76</v>
      </c>
      <c r="C317">
        <v>2022</v>
      </c>
      <c r="D317">
        <v>4.7</v>
      </c>
      <c r="E317">
        <v>454</v>
      </c>
      <c r="F317">
        <v>384</v>
      </c>
      <c r="G317">
        <v>4.8</v>
      </c>
      <c r="H317" s="4">
        <v>134300</v>
      </c>
      <c r="I317" s="8" t="str" cm="1">
        <f t="array" ref="I317">_xlfn.IFS(H317&lt;50000,"Under $50K", H317&lt;100000,"$50K–$100K",
     H317&lt;200000,"$100K–$200K", H317&lt;500000,"$200K–$500K",
     H317&gt;=500000,"$500K+")</f>
        <v>$100K–$200K</v>
      </c>
      <c r="J317" s="9" t="str">
        <f t="shared" si="20"/>
        <v>2020s</v>
      </c>
      <c r="K317">
        <f t="shared" si="21"/>
        <v>2.7803238619003971E-2</v>
      </c>
      <c r="L317">
        <f t="shared" si="22"/>
        <v>0.22170900692840648</v>
      </c>
      <c r="M317">
        <f t="shared" si="23"/>
        <v>0.36170212765957455</v>
      </c>
      <c r="N317">
        <f t="shared" si="24"/>
        <v>0.20373812440232833</v>
      </c>
    </row>
    <row r="318" spans="1:14">
      <c r="A318" t="s">
        <v>29</v>
      </c>
      <c r="B318" t="s">
        <v>171</v>
      </c>
      <c r="C318">
        <v>2021</v>
      </c>
      <c r="D318">
        <v>4</v>
      </c>
      <c r="E318">
        <v>755</v>
      </c>
      <c r="F318">
        <v>590</v>
      </c>
      <c r="G318">
        <v>2.8</v>
      </c>
      <c r="H318" s="4">
        <v>358000</v>
      </c>
      <c r="I318" s="8" t="str" cm="1">
        <f t="array" ref="I318">_xlfn.IFS(H318&lt;50000,"Under $50K", H318&lt;100000,"$50K–$100K",
     H318&lt;200000,"$100K–$200K", H318&lt;500000,"$200K–$500K",
     H318&gt;=500000,"$500K+")</f>
        <v>$200K–$500K</v>
      </c>
      <c r="J318" s="9" t="str">
        <f t="shared" si="20"/>
        <v>2020s</v>
      </c>
      <c r="K318">
        <f t="shared" si="21"/>
        <v>5.8458091455341685E-2</v>
      </c>
      <c r="L318">
        <f t="shared" si="22"/>
        <v>0.34064665127020788</v>
      </c>
      <c r="M318">
        <f t="shared" si="23"/>
        <v>0.78723404255319152</v>
      </c>
      <c r="N318">
        <f t="shared" si="24"/>
        <v>0.39544626175958036</v>
      </c>
    </row>
    <row r="319" spans="1:14">
      <c r="A319" t="s">
        <v>32</v>
      </c>
      <c r="B319" t="s">
        <v>117</v>
      </c>
      <c r="C319">
        <v>2021</v>
      </c>
      <c r="D319">
        <v>3.7</v>
      </c>
      <c r="E319">
        <v>332</v>
      </c>
      <c r="F319">
        <v>270</v>
      </c>
      <c r="G319">
        <v>5</v>
      </c>
      <c r="H319" s="4">
        <v>30000</v>
      </c>
      <c r="I319" s="8" t="str" cm="1">
        <f t="array" ref="I319">_xlfn.IFS(H319&lt;50000,"Under $50K", H319&lt;100000,"$50K–$100K",
     H319&lt;200000,"$100K–$200K", H319&lt;500000,"$200K–$500K",
     H319&gt;=500000,"$500K+")</f>
        <v>Under $50K</v>
      </c>
      <c r="J319" s="9" t="str">
        <f t="shared" si="20"/>
        <v>2020s</v>
      </c>
      <c r="K319">
        <f t="shared" si="21"/>
        <v>1.5378348100621244E-2</v>
      </c>
      <c r="L319">
        <f t="shared" si="22"/>
        <v>0.15588914549653579</v>
      </c>
      <c r="M319">
        <f t="shared" si="23"/>
        <v>0.31914893617021278</v>
      </c>
      <c r="N319">
        <f t="shared" si="24"/>
        <v>0.16347214325578993</v>
      </c>
    </row>
    <row r="320" spans="1:14">
      <c r="A320" t="s">
        <v>33</v>
      </c>
      <c r="B320" t="s">
        <v>83</v>
      </c>
      <c r="C320">
        <v>2021</v>
      </c>
      <c r="D320">
        <v>6</v>
      </c>
      <c r="E320">
        <v>730</v>
      </c>
      <c r="F320">
        <v>738</v>
      </c>
      <c r="G320">
        <v>3</v>
      </c>
      <c r="H320" s="4">
        <v>2600000</v>
      </c>
      <c r="I320" s="8" t="str" cm="1">
        <f t="array" ref="I320">_xlfn.IFS(H320&lt;50000,"Under $50K", H320&lt;100000,"$50K–$100K",
     H320&lt;200000,"$100K–$200K", H320&lt;500000,"$200K–$500K",
     H320&gt;=500000,"$500K+")</f>
        <v>$500K+</v>
      </c>
      <c r="J320" s="9" t="str">
        <f t="shared" si="20"/>
        <v>2020s</v>
      </c>
      <c r="K320">
        <f t="shared" si="21"/>
        <v>5.5912007332722273E-2</v>
      </c>
      <c r="L320">
        <f t="shared" si="22"/>
        <v>0.42609699769053117</v>
      </c>
      <c r="M320">
        <f t="shared" si="23"/>
        <v>0.74468085106382986</v>
      </c>
      <c r="N320">
        <f t="shared" si="24"/>
        <v>0.40889661869569444</v>
      </c>
    </row>
    <row r="321" spans="1:14">
      <c r="A321" t="s">
        <v>36</v>
      </c>
      <c r="B321" t="s">
        <v>135</v>
      </c>
      <c r="C321">
        <v>2021</v>
      </c>
      <c r="D321">
        <v>4</v>
      </c>
      <c r="E321">
        <v>620</v>
      </c>
      <c r="F321">
        <v>604</v>
      </c>
      <c r="G321">
        <v>2.9</v>
      </c>
      <c r="H321" s="4">
        <v>180000</v>
      </c>
      <c r="I321" s="8" t="str" cm="1">
        <f t="array" ref="I321">_xlfn.IFS(H321&lt;50000,"Under $50K", H321&lt;100000,"$50K–$100K",
     H321&lt;200000,"$100K–$200K", H321&lt;500000,"$200K–$500K",
     H321&gt;=500000,"$500K+")</f>
        <v>$100K–$200K</v>
      </c>
      <c r="J321" s="9" t="str">
        <f t="shared" si="20"/>
        <v>2020s</v>
      </c>
      <c r="K321">
        <f t="shared" si="21"/>
        <v>4.470923719319686E-2</v>
      </c>
      <c r="L321">
        <f t="shared" si="22"/>
        <v>0.34872979214780603</v>
      </c>
      <c r="M321">
        <f t="shared" si="23"/>
        <v>0.76595744680851063</v>
      </c>
      <c r="N321">
        <f t="shared" si="24"/>
        <v>0.38646549204983782</v>
      </c>
    </row>
    <row r="322" spans="1:14">
      <c r="A322" t="s">
        <v>41</v>
      </c>
      <c r="B322" t="s">
        <v>143</v>
      </c>
      <c r="C322">
        <v>2021</v>
      </c>
      <c r="D322" t="s">
        <v>85</v>
      </c>
      <c r="E322">
        <v>1020</v>
      </c>
      <c r="F322">
        <v>1050</v>
      </c>
      <c r="G322">
        <v>1.9</v>
      </c>
      <c r="H322" s="4">
        <v>131100</v>
      </c>
      <c r="I322" s="8" t="str" cm="1">
        <f t="array" ref="I322">_xlfn.IFS(H322&lt;50000,"Under $50K", H322&lt;100000,"$50K–$100K",
     H322&lt;200000,"$100K–$200K", H322&lt;500000,"$200K–$500K",
     H322&gt;=500000,"$500K+")</f>
        <v>$100K–$200K</v>
      </c>
      <c r="J322" s="9" t="str">
        <f t="shared" si="20"/>
        <v>2020s</v>
      </c>
      <c r="K322">
        <f t="shared" si="21"/>
        <v>8.5446583155107447E-2</v>
      </c>
      <c r="L322">
        <f t="shared" si="22"/>
        <v>0.60623556581986138</v>
      </c>
      <c r="M322">
        <f t="shared" si="23"/>
        <v>0.97872340425531923</v>
      </c>
      <c r="N322">
        <f t="shared" si="24"/>
        <v>0.55680185107676261</v>
      </c>
    </row>
    <row r="323" spans="1:14">
      <c r="A323" t="s">
        <v>12</v>
      </c>
      <c r="B323" t="s">
        <v>69</v>
      </c>
      <c r="C323">
        <v>2021</v>
      </c>
      <c r="D323">
        <v>4</v>
      </c>
      <c r="E323">
        <v>503</v>
      </c>
      <c r="F323">
        <v>513</v>
      </c>
      <c r="G323">
        <v>4</v>
      </c>
      <c r="H323" s="4">
        <v>201495</v>
      </c>
      <c r="I323" s="8" t="str" cm="1">
        <f t="array" ref="I323">_xlfn.IFS(H323&lt;50000,"Under $50K", H323&lt;100000,"$50K–$100K",
     H323&lt;200000,"$100K–$200K", H323&lt;500000,"$200K–$500K",
     H323&gt;=500000,"$500K+")</f>
        <v>$200K–$500K</v>
      </c>
      <c r="J323" s="9" t="str">
        <f t="shared" ref="J323:J386" si="25">_xlfn.CONCAT(INT(C323/10)*10,"s")</f>
        <v>2020s</v>
      </c>
      <c r="K323">
        <f t="shared" ref="K323:K386" si="26">(E323-MIN($E$2:$E$1008))/(MAX($E$2:$E$1008)-MIN($E$2:$E$1008))</f>
        <v>3.279356349933802E-2</v>
      </c>
      <c r="L323">
        <f t="shared" ref="L323:L386" si="27">(F323-MIN($F$2:$F$501))/(MAX($F$2:$F$501)-MIN($F$2:$F$501))</f>
        <v>0.29618937644341803</v>
      </c>
      <c r="M323">
        <f t="shared" ref="M323:M386" si="28">1-((G323-MIN($G$2:$G$501))/(MAX($G$2:$G$501)-MIN($G$2:$G$501)))</f>
        <v>0.53191489361702127</v>
      </c>
      <c r="N323">
        <f t="shared" ref="N323:N386" si="29">AVERAGE(K323,L323,M323)</f>
        <v>0.2869659445199258</v>
      </c>
    </row>
    <row r="324" spans="1:14">
      <c r="A324" t="s">
        <v>18</v>
      </c>
      <c r="B324" t="s">
        <v>172</v>
      </c>
      <c r="C324">
        <v>2022</v>
      </c>
      <c r="D324">
        <v>6.2</v>
      </c>
      <c r="E324">
        <v>797</v>
      </c>
      <c r="F324">
        <v>707</v>
      </c>
      <c r="G324">
        <v>3.4</v>
      </c>
      <c r="H324" s="4">
        <v>82190</v>
      </c>
      <c r="I324" s="8" t="str" cm="1">
        <f t="array" ref="I324">_xlfn.IFS(H324&lt;50000,"Under $50K", H324&lt;100000,"$50K–$100K",
     H324&lt;200000,"$100K–$200K", H324&lt;500000,"$200K–$500K",
     H324&gt;=500000,"$500K+")</f>
        <v>$50K–$100K</v>
      </c>
      <c r="J324" s="9" t="str">
        <f t="shared" si="25"/>
        <v>2020s</v>
      </c>
      <c r="K324">
        <f t="shared" si="26"/>
        <v>6.273551278134229E-2</v>
      </c>
      <c r="L324">
        <f t="shared" si="27"/>
        <v>0.40819861431870669</v>
      </c>
      <c r="M324">
        <f t="shared" si="28"/>
        <v>0.65957446808510645</v>
      </c>
      <c r="N324">
        <f t="shared" si="29"/>
        <v>0.37683619839505184</v>
      </c>
    </row>
    <row r="325" spans="1:14">
      <c r="A325" t="s">
        <v>26</v>
      </c>
      <c r="B325" t="s">
        <v>173</v>
      </c>
      <c r="C325">
        <v>2021</v>
      </c>
      <c r="D325">
        <v>3.5</v>
      </c>
      <c r="E325">
        <v>416</v>
      </c>
      <c r="F325">
        <v>317</v>
      </c>
      <c r="G325">
        <v>3.8</v>
      </c>
      <c r="H325" s="4">
        <v>96950</v>
      </c>
      <c r="I325" s="8" t="str" cm="1">
        <f t="array" ref="I325">_xlfn.IFS(H325&lt;50000,"Under $50K", H325&lt;100000,"$50K–$100K",
     H325&lt;200000,"$100K–$200K", H325&lt;500000,"$200K–$500K",
     H325&gt;=500000,"$500K+")</f>
        <v>$50K–$100K</v>
      </c>
      <c r="J325" s="9" t="str">
        <f t="shared" si="25"/>
        <v>2020s</v>
      </c>
      <c r="K325">
        <f t="shared" si="26"/>
        <v>2.3933190752622468E-2</v>
      </c>
      <c r="L325">
        <f t="shared" si="27"/>
        <v>0.18302540415704388</v>
      </c>
      <c r="M325">
        <f t="shared" si="28"/>
        <v>0.57446808510638303</v>
      </c>
      <c r="N325">
        <f t="shared" si="29"/>
        <v>0.26047556000534983</v>
      </c>
    </row>
    <row r="326" spans="1:14">
      <c r="A326" t="s">
        <v>8</v>
      </c>
      <c r="B326" t="s">
        <v>123</v>
      </c>
      <c r="C326">
        <v>2021</v>
      </c>
      <c r="D326">
        <v>3.5</v>
      </c>
      <c r="E326">
        <v>573</v>
      </c>
      <c r="F326">
        <v>476</v>
      </c>
      <c r="G326">
        <v>2.7</v>
      </c>
      <c r="H326" s="4">
        <v>159495</v>
      </c>
      <c r="I326" s="8" t="str" cm="1">
        <f t="array" ref="I326">_xlfn.IFS(H326&lt;50000,"Under $50K", H326&lt;100000,"$50K–$100K",
     H326&lt;200000,"$100K–$200K", H326&lt;500000,"$200K–$500K",
     H326&gt;=500000,"$500K+")</f>
        <v>$100K–$200K</v>
      </c>
      <c r="J326" s="9" t="str">
        <f t="shared" si="25"/>
        <v>2020s</v>
      </c>
      <c r="K326">
        <f t="shared" si="26"/>
        <v>3.9922599042672369E-2</v>
      </c>
      <c r="L326">
        <f t="shared" si="27"/>
        <v>0.27482678983833719</v>
      </c>
      <c r="M326">
        <f t="shared" si="28"/>
        <v>0.80851063829787229</v>
      </c>
      <c r="N326">
        <f t="shared" si="29"/>
        <v>0.3744200090596273</v>
      </c>
    </row>
    <row r="327" spans="1:14">
      <c r="A327" t="s">
        <v>9</v>
      </c>
      <c r="B327" t="s">
        <v>78</v>
      </c>
      <c r="C327">
        <v>2021</v>
      </c>
      <c r="D327">
        <v>2.9</v>
      </c>
      <c r="E327">
        <v>505</v>
      </c>
      <c r="F327">
        <v>443</v>
      </c>
      <c r="G327">
        <v>3.8</v>
      </c>
      <c r="H327" s="4">
        <v>76950</v>
      </c>
      <c r="I327" s="8" t="str" cm="1">
        <f t="array" ref="I327">_xlfn.IFS(H327&lt;50000,"Under $50K", H327&lt;100000,"$50K–$100K",
     H327&lt;200000,"$100K–$200K", H327&lt;500000,"$200K–$500K",
     H327&gt;=500000,"$500K+")</f>
        <v>$50K–$100K</v>
      </c>
      <c r="J327" s="9" t="str">
        <f t="shared" si="25"/>
        <v>2020s</v>
      </c>
      <c r="K327">
        <f t="shared" si="26"/>
        <v>3.2997250229147568E-2</v>
      </c>
      <c r="L327">
        <f t="shared" si="27"/>
        <v>0.25577367205542723</v>
      </c>
      <c r="M327">
        <f t="shared" si="28"/>
        <v>0.57446808510638303</v>
      </c>
      <c r="N327">
        <f t="shared" si="29"/>
        <v>0.28774633579698594</v>
      </c>
    </row>
    <row r="328" spans="1:14">
      <c r="A328" t="s">
        <v>14</v>
      </c>
      <c r="B328" t="s">
        <v>80</v>
      </c>
      <c r="C328">
        <v>2021</v>
      </c>
      <c r="D328">
        <v>6</v>
      </c>
      <c r="E328">
        <v>626</v>
      </c>
      <c r="F328">
        <v>664</v>
      </c>
      <c r="G328">
        <v>3.3</v>
      </c>
      <c r="H328" s="4">
        <v>202500</v>
      </c>
      <c r="I328" s="8" t="str" cm="1">
        <f t="array" ref="I328">_xlfn.IFS(H328&lt;50000,"Under $50K", H328&lt;100000,"$50K–$100K",
     H328&lt;200000,"$100K–$200K", H328&lt;500000,"$200K–$500K",
     H328&gt;=500000,"$500K+")</f>
        <v>$200K–$500K</v>
      </c>
      <c r="J328" s="9" t="str">
        <f t="shared" si="25"/>
        <v>2020s</v>
      </c>
      <c r="K328">
        <f t="shared" si="26"/>
        <v>4.5320297382625524E-2</v>
      </c>
      <c r="L328">
        <f t="shared" si="27"/>
        <v>0.38337182448036949</v>
      </c>
      <c r="M328">
        <f t="shared" si="28"/>
        <v>0.68085106382978733</v>
      </c>
      <c r="N328">
        <f t="shared" si="29"/>
        <v>0.36984772856426079</v>
      </c>
    </row>
    <row r="329" spans="1:14">
      <c r="A329" t="s">
        <v>21</v>
      </c>
      <c r="B329" t="s">
        <v>72</v>
      </c>
      <c r="C329">
        <v>2022</v>
      </c>
      <c r="D329">
        <v>3</v>
      </c>
      <c r="E329">
        <v>380</v>
      </c>
      <c r="F329">
        <v>339</v>
      </c>
      <c r="G329">
        <v>4.9000000000000004</v>
      </c>
      <c r="H329" s="4">
        <v>70100</v>
      </c>
      <c r="I329" s="8" t="str" cm="1">
        <f t="array" ref="I329">_xlfn.IFS(H329&lt;50000,"Under $50K", H329&lt;100000,"$50K–$100K",
     H329&lt;200000,"$100K–$200K", H329&lt;500000,"$200K–$500K",
     H329&gt;=500000,"$500K+")</f>
        <v>$50K–$100K</v>
      </c>
      <c r="J329" s="9" t="str">
        <f t="shared" si="25"/>
        <v>2020s</v>
      </c>
      <c r="K329">
        <f t="shared" si="26"/>
        <v>2.0266829616050513E-2</v>
      </c>
      <c r="L329">
        <f t="shared" si="27"/>
        <v>0.19572748267898382</v>
      </c>
      <c r="M329">
        <f t="shared" si="28"/>
        <v>0.34042553191489355</v>
      </c>
      <c r="N329">
        <f t="shared" si="29"/>
        <v>0.18547328140330929</v>
      </c>
    </row>
    <row r="330" spans="1:14">
      <c r="A330" t="s">
        <v>23</v>
      </c>
      <c r="B330" t="s">
        <v>73</v>
      </c>
      <c r="C330">
        <v>2022</v>
      </c>
      <c r="D330">
        <v>5</v>
      </c>
      <c r="E330">
        <v>1280</v>
      </c>
      <c r="F330">
        <v>1015</v>
      </c>
      <c r="G330">
        <v>2.5</v>
      </c>
      <c r="H330" s="4">
        <v>3000000</v>
      </c>
      <c r="I330" s="8" t="str" cm="1">
        <f t="array" ref="I330">_xlfn.IFS(H330&lt;50000,"Under $50K", H330&lt;100000,"$50K–$100K",
     H330&lt;200000,"$100K–$200K", H330&lt;500000,"$200K–$500K",
     H330&gt;=500000,"$500K+")</f>
        <v>$500K+</v>
      </c>
      <c r="J330" s="9" t="str">
        <f t="shared" si="25"/>
        <v>2020s</v>
      </c>
      <c r="K330">
        <f t="shared" si="26"/>
        <v>0.11192585803034932</v>
      </c>
      <c r="L330">
        <f t="shared" si="27"/>
        <v>0.58602771362586603</v>
      </c>
      <c r="M330">
        <f t="shared" si="28"/>
        <v>0.85106382978723405</v>
      </c>
      <c r="N330">
        <f t="shared" si="29"/>
        <v>0.51633913381448304</v>
      </c>
    </row>
    <row r="331" spans="1:14">
      <c r="A331" t="s">
        <v>25</v>
      </c>
      <c r="B331" t="s">
        <v>74</v>
      </c>
      <c r="C331">
        <v>2021</v>
      </c>
      <c r="D331">
        <v>5</v>
      </c>
      <c r="E331">
        <v>471</v>
      </c>
      <c r="F331">
        <v>398</v>
      </c>
      <c r="G331">
        <v>4.4000000000000004</v>
      </c>
      <c r="H331" s="4">
        <v>92950</v>
      </c>
      <c r="I331" s="8" t="str" cm="1">
        <f t="array" ref="I331">_xlfn.IFS(H331&lt;50000,"Under $50K", H331&lt;100000,"$50K–$100K",
     H331&lt;200000,"$100K–$200K", H331&lt;500000,"$200K–$500K",
     H331&gt;=500000,"$500K+")</f>
        <v>$50K–$100K</v>
      </c>
      <c r="J331" s="9" t="str">
        <f t="shared" si="25"/>
        <v>2020s</v>
      </c>
      <c r="K331">
        <f t="shared" si="26"/>
        <v>2.9534575822385171E-2</v>
      </c>
      <c r="L331">
        <f t="shared" si="27"/>
        <v>0.22979214780600463</v>
      </c>
      <c r="M331">
        <f t="shared" si="28"/>
        <v>0.44680851063829774</v>
      </c>
      <c r="N331">
        <f t="shared" si="29"/>
        <v>0.23537841142222918</v>
      </c>
    </row>
    <row r="332" spans="1:14">
      <c r="A332" t="s">
        <v>27</v>
      </c>
      <c r="B332" t="s">
        <v>76</v>
      </c>
      <c r="C332">
        <v>2022</v>
      </c>
      <c r="D332">
        <v>4.7</v>
      </c>
      <c r="E332">
        <v>454</v>
      </c>
      <c r="F332">
        <v>384</v>
      </c>
      <c r="G332">
        <v>4.8</v>
      </c>
      <c r="H332" s="4">
        <v>132795</v>
      </c>
      <c r="I332" s="8" t="str" cm="1">
        <f t="array" ref="I332">_xlfn.IFS(H332&lt;50000,"Under $50K", H332&lt;100000,"$50K–$100K",
     H332&lt;200000,"$100K–$200K", H332&lt;500000,"$200K–$500K",
     H332&gt;=500000,"$500K+")</f>
        <v>$100K–$200K</v>
      </c>
      <c r="J332" s="9" t="str">
        <f t="shared" si="25"/>
        <v>2020s</v>
      </c>
      <c r="K332">
        <f t="shared" si="26"/>
        <v>2.7803238619003971E-2</v>
      </c>
      <c r="L332">
        <f t="shared" si="27"/>
        <v>0.22170900692840648</v>
      </c>
      <c r="M332">
        <f t="shared" si="28"/>
        <v>0.36170212765957455</v>
      </c>
      <c r="N332">
        <f t="shared" si="29"/>
        <v>0.20373812440232833</v>
      </c>
    </row>
    <row r="333" spans="1:14">
      <c r="A333" t="s">
        <v>29</v>
      </c>
      <c r="B333" t="s">
        <v>92</v>
      </c>
      <c r="C333">
        <v>2022</v>
      </c>
      <c r="D333">
        <v>4</v>
      </c>
      <c r="E333">
        <v>612</v>
      </c>
      <c r="F333">
        <v>465</v>
      </c>
      <c r="G333">
        <v>3.1</v>
      </c>
      <c r="H333" s="4">
        <v>215500</v>
      </c>
      <c r="I333" s="8" t="str" cm="1">
        <f t="array" ref="I333">_xlfn.IFS(H333&lt;50000,"Under $50K", H333&lt;100000,"$50K–$100K",
     H333&lt;200000,"$100K–$200K", H333&lt;500000,"$200K–$500K",
     H333&gt;=500000,"$500K+")</f>
        <v>$200K–$500K</v>
      </c>
      <c r="J333" s="9" t="str">
        <f t="shared" si="25"/>
        <v>2020s</v>
      </c>
      <c r="K333">
        <f t="shared" si="26"/>
        <v>4.3894490273958649E-2</v>
      </c>
      <c r="L333">
        <f t="shared" si="27"/>
        <v>0.26847575057736722</v>
      </c>
      <c r="M333">
        <f t="shared" si="28"/>
        <v>0.72340425531914887</v>
      </c>
      <c r="N333">
        <f t="shared" si="29"/>
        <v>0.34525816539015824</v>
      </c>
    </row>
    <row r="334" spans="1:14">
      <c r="A334" t="s">
        <v>30</v>
      </c>
      <c r="B334" t="s">
        <v>151</v>
      </c>
      <c r="C334">
        <v>2022</v>
      </c>
      <c r="D334">
        <v>4</v>
      </c>
      <c r="E334">
        <v>503</v>
      </c>
      <c r="F334">
        <v>516</v>
      </c>
      <c r="G334">
        <v>3.7</v>
      </c>
      <c r="H334" s="4">
        <v>80900</v>
      </c>
      <c r="I334" s="8" t="str" cm="1">
        <f t="array" ref="I334">_xlfn.IFS(H334&lt;50000,"Under $50K", H334&lt;100000,"$50K–$100K",
     H334&lt;200000,"$100K–$200K", H334&lt;500000,"$200K–$500K",
     H334&gt;=500000,"$500K+")</f>
        <v>$50K–$100K</v>
      </c>
      <c r="J334" s="9" t="str">
        <f t="shared" si="25"/>
        <v>2020s</v>
      </c>
      <c r="K334">
        <f t="shared" si="26"/>
        <v>3.279356349933802E-2</v>
      </c>
      <c r="L334">
        <f t="shared" si="27"/>
        <v>0.29792147806004621</v>
      </c>
      <c r="M334">
        <f t="shared" si="28"/>
        <v>0.5957446808510638</v>
      </c>
      <c r="N334">
        <f t="shared" si="29"/>
        <v>0.30881990747014937</v>
      </c>
    </row>
    <row r="335" spans="1:14">
      <c r="A335" t="s">
        <v>36</v>
      </c>
      <c r="B335" t="s">
        <v>122</v>
      </c>
      <c r="C335">
        <v>2021</v>
      </c>
      <c r="D335">
        <v>2</v>
      </c>
      <c r="E335">
        <v>300</v>
      </c>
      <c r="F335">
        <v>280</v>
      </c>
      <c r="G335">
        <v>4.9000000000000004</v>
      </c>
      <c r="H335" s="4">
        <v>59900</v>
      </c>
      <c r="I335" s="8" t="str" cm="1">
        <f t="array" ref="I335">_xlfn.IFS(H335&lt;50000,"Under $50K", H335&lt;100000,"$50K–$100K",
     H335&lt;200000,"$100K–$200K", H335&lt;500000,"$200K–$500K",
     H335&gt;=500000,"$500K+")</f>
        <v>$50K–$100K</v>
      </c>
      <c r="J335" s="9" t="str">
        <f t="shared" si="25"/>
        <v>2020s</v>
      </c>
      <c r="K335">
        <f t="shared" si="26"/>
        <v>1.2119360423668398E-2</v>
      </c>
      <c r="L335">
        <f t="shared" si="27"/>
        <v>0.16166281755196305</v>
      </c>
      <c r="M335">
        <f t="shared" si="28"/>
        <v>0.34042553191489355</v>
      </c>
      <c r="N335">
        <f t="shared" si="29"/>
        <v>0.17140256996350833</v>
      </c>
    </row>
    <row r="336" spans="1:14">
      <c r="A336" t="s">
        <v>38</v>
      </c>
      <c r="B336" t="s">
        <v>126</v>
      </c>
      <c r="C336">
        <v>2021</v>
      </c>
      <c r="D336">
        <v>6.8</v>
      </c>
      <c r="E336">
        <v>624</v>
      </c>
      <c r="F336">
        <v>605</v>
      </c>
      <c r="G336">
        <v>4.3</v>
      </c>
      <c r="H336" s="4">
        <v>330000</v>
      </c>
      <c r="I336" s="8" t="str" cm="1">
        <f t="array" ref="I336">_xlfn.IFS(H336&lt;50000,"Under $50K", H336&lt;100000,"$50K–$100K",
     H336&lt;200000,"$100K–$200K", H336&lt;500000,"$200K–$500K",
     H336&gt;=500000,"$500K+")</f>
        <v>$200K–$500K</v>
      </c>
      <c r="J336" s="9" t="str">
        <f t="shared" si="25"/>
        <v>2020s</v>
      </c>
      <c r="K336">
        <f t="shared" si="26"/>
        <v>4.5116610652815969E-2</v>
      </c>
      <c r="L336">
        <f t="shared" si="27"/>
        <v>0.34930715935334872</v>
      </c>
      <c r="M336">
        <f t="shared" si="28"/>
        <v>0.46808510638297873</v>
      </c>
      <c r="N336">
        <f t="shared" si="29"/>
        <v>0.28750295879638116</v>
      </c>
    </row>
    <row r="337" spans="1:14">
      <c r="A337" t="s">
        <v>41</v>
      </c>
      <c r="B337" t="s">
        <v>127</v>
      </c>
      <c r="C337">
        <v>2022</v>
      </c>
      <c r="D337" t="s">
        <v>174</v>
      </c>
      <c r="E337" t="s">
        <v>128</v>
      </c>
      <c r="F337" t="s">
        <v>174</v>
      </c>
      <c r="G337">
        <v>1.9</v>
      </c>
      <c r="H337" s="4">
        <v>200000</v>
      </c>
      <c r="I337" s="8" t="str" cm="1">
        <f t="array" ref="I337">_xlfn.IFS(H337&lt;50000,"Under $50K", H337&lt;100000,"$50K–$100K",
     H337&lt;200000,"$100K–$200K", H337&lt;500000,"$200K–$500K",
     H337&gt;=500000,"$500K+")</f>
        <v>$200K–$500K</v>
      </c>
      <c r="J337" s="9" t="str">
        <f t="shared" si="25"/>
        <v>2020s</v>
      </c>
      <c r="K337" t="e">
        <f t="shared" si="26"/>
        <v>#VALUE!</v>
      </c>
      <c r="L337" t="e">
        <f t="shared" si="27"/>
        <v>#VALUE!</v>
      </c>
      <c r="M337">
        <f t="shared" si="28"/>
        <v>0.97872340425531923</v>
      </c>
      <c r="N337" t="e">
        <f t="shared" si="29"/>
        <v>#VALUE!</v>
      </c>
    </row>
    <row r="338" spans="1:14">
      <c r="A338" t="s">
        <v>17</v>
      </c>
      <c r="B338" t="s">
        <v>105</v>
      </c>
      <c r="C338">
        <v>2021</v>
      </c>
      <c r="D338">
        <v>6.2</v>
      </c>
      <c r="E338">
        <v>455</v>
      </c>
      <c r="F338">
        <v>455</v>
      </c>
      <c r="G338">
        <v>4</v>
      </c>
      <c r="H338" s="4">
        <v>40000</v>
      </c>
      <c r="I338" s="8" t="str" cm="1">
        <f t="array" ref="I338">_xlfn.IFS(H338&lt;50000,"Under $50K", H338&lt;100000,"$50K–$100K",
     H338&lt;200000,"$100K–$200K", H338&lt;500000,"$200K–$500K",
     H338&gt;=500000,"$500K+")</f>
        <v>Under $50K</v>
      </c>
      <c r="J338" s="9" t="str">
        <f t="shared" si="25"/>
        <v>2020s</v>
      </c>
      <c r="K338">
        <f t="shared" si="26"/>
        <v>2.7905081983908748E-2</v>
      </c>
      <c r="L338">
        <f t="shared" si="27"/>
        <v>0.26270207852193994</v>
      </c>
      <c r="M338">
        <f t="shared" si="28"/>
        <v>0.53191489361702127</v>
      </c>
      <c r="N338">
        <f t="shared" si="29"/>
        <v>0.27417401804095665</v>
      </c>
    </row>
    <row r="339" spans="1:14">
      <c r="A339" t="s">
        <v>20</v>
      </c>
      <c r="B339" t="s">
        <v>92</v>
      </c>
      <c r="C339">
        <v>2022</v>
      </c>
      <c r="D339">
        <v>3.5</v>
      </c>
      <c r="E339">
        <v>660</v>
      </c>
      <c r="F339">
        <v>550</v>
      </c>
      <c r="G339">
        <v>3</v>
      </c>
      <c r="H339" s="4">
        <v>500000</v>
      </c>
      <c r="I339" s="8" t="str" cm="1">
        <f t="array" ref="I339">_xlfn.IFS(H339&lt;50000,"Under $50K", H339&lt;100000,"$50K–$100K",
     H339&lt;200000,"$100K–$200K", H339&lt;500000,"$200K–$500K",
     H339&gt;=500000,"$500K+")</f>
        <v>$500K+</v>
      </c>
      <c r="J339" s="9" t="str">
        <f t="shared" si="25"/>
        <v>2020s</v>
      </c>
      <c r="K339">
        <f t="shared" si="26"/>
        <v>4.8782971789387924E-2</v>
      </c>
      <c r="L339">
        <f t="shared" si="27"/>
        <v>0.31755196304849886</v>
      </c>
      <c r="M339">
        <f t="shared" si="28"/>
        <v>0.74468085106382986</v>
      </c>
      <c r="N339">
        <f t="shared" si="29"/>
        <v>0.37033859530057223</v>
      </c>
    </row>
    <row r="340" spans="1:14">
      <c r="A340" t="s">
        <v>8</v>
      </c>
      <c r="B340" t="s">
        <v>123</v>
      </c>
      <c r="C340">
        <v>2022</v>
      </c>
      <c r="D340">
        <v>3.5</v>
      </c>
      <c r="E340">
        <v>573</v>
      </c>
      <c r="F340">
        <v>476</v>
      </c>
      <c r="G340">
        <v>2.7</v>
      </c>
      <c r="H340" s="4">
        <v>157500</v>
      </c>
      <c r="I340" s="8" t="str" cm="1">
        <f t="array" ref="I340">_xlfn.IFS(H340&lt;50000,"Under $50K", H340&lt;100000,"$50K–$100K",
     H340&lt;200000,"$100K–$200K", H340&lt;500000,"$200K–$500K",
     H340&gt;=500000,"$500K+")</f>
        <v>$100K–$200K</v>
      </c>
      <c r="J340" s="9" t="str">
        <f t="shared" si="25"/>
        <v>2020s</v>
      </c>
      <c r="K340">
        <f t="shared" si="26"/>
        <v>3.9922599042672369E-2</v>
      </c>
      <c r="L340">
        <f t="shared" si="27"/>
        <v>0.27482678983833719</v>
      </c>
      <c r="M340">
        <f t="shared" si="28"/>
        <v>0.80851063829787229</v>
      </c>
      <c r="N340">
        <f t="shared" si="29"/>
        <v>0.3744200090596273</v>
      </c>
    </row>
    <row r="341" spans="1:14">
      <c r="A341" t="s">
        <v>12</v>
      </c>
      <c r="B341" t="s">
        <v>69</v>
      </c>
      <c r="C341">
        <v>2021</v>
      </c>
      <c r="D341">
        <v>5.2</v>
      </c>
      <c r="E341">
        <v>630</v>
      </c>
      <c r="F341">
        <v>516</v>
      </c>
      <c r="G341">
        <v>3.7</v>
      </c>
      <c r="H341" s="4">
        <v>209000</v>
      </c>
      <c r="I341" s="8" t="str" cm="1">
        <f t="array" ref="I341">_xlfn.IFS(H341&lt;50000,"Under $50K", H341&lt;100000,"$50K–$100K",
     H341&lt;200000,"$100K–$200K", H341&lt;500000,"$200K–$500K",
     H341&gt;=500000,"$500K+")</f>
        <v>$200K–$500K</v>
      </c>
      <c r="J341" s="9" t="str">
        <f t="shared" si="25"/>
        <v>2020s</v>
      </c>
      <c r="K341">
        <f t="shared" si="26"/>
        <v>4.5727670842244626E-2</v>
      </c>
      <c r="L341">
        <f t="shared" si="27"/>
        <v>0.29792147806004621</v>
      </c>
      <c r="M341">
        <f t="shared" si="28"/>
        <v>0.5957446808510638</v>
      </c>
      <c r="N341">
        <f t="shared" si="29"/>
        <v>0.31313127658445156</v>
      </c>
    </row>
    <row r="342" spans="1:14">
      <c r="A342" t="s">
        <v>14</v>
      </c>
      <c r="B342" t="s">
        <v>80</v>
      </c>
      <c r="C342">
        <v>2022</v>
      </c>
      <c r="D342">
        <v>4</v>
      </c>
      <c r="E342">
        <v>542</v>
      </c>
      <c r="F342">
        <v>568</v>
      </c>
      <c r="G342">
        <v>3.9</v>
      </c>
      <c r="H342" s="4">
        <v>202500</v>
      </c>
      <c r="I342" s="8" t="str" cm="1">
        <f t="array" ref="I342">_xlfn.IFS(H342&lt;50000,"Under $50K", H342&lt;100000,"$50K–$100K",
     H342&lt;200000,"$100K–$200K", H342&lt;500000,"$200K–$500K",
     H342&gt;=500000,"$500K+")</f>
        <v>$200K–$500K</v>
      </c>
      <c r="J342" s="9" t="str">
        <f t="shared" si="25"/>
        <v>2020s</v>
      </c>
      <c r="K342">
        <f t="shared" si="26"/>
        <v>3.67654547306243E-2</v>
      </c>
      <c r="L342">
        <f t="shared" si="27"/>
        <v>0.32794457274826788</v>
      </c>
      <c r="M342">
        <f t="shared" si="28"/>
        <v>0.55319148936170226</v>
      </c>
      <c r="N342">
        <f t="shared" si="29"/>
        <v>0.30596717228019815</v>
      </c>
    </row>
    <row r="343" spans="1:14">
      <c r="A343" t="s">
        <v>16</v>
      </c>
      <c r="B343" t="s">
        <v>70</v>
      </c>
      <c r="C343">
        <v>2021</v>
      </c>
      <c r="D343">
        <v>8</v>
      </c>
      <c r="E343">
        <v>1500</v>
      </c>
      <c r="F343">
        <v>1180</v>
      </c>
      <c r="G343">
        <v>2.4</v>
      </c>
      <c r="H343" s="4">
        <v>3000000</v>
      </c>
      <c r="I343" s="8" t="str" cm="1">
        <f t="array" ref="I343">_xlfn.IFS(H343&lt;50000,"Under $50K", H343&lt;100000,"$50K–$100K",
     H343&lt;200000,"$100K–$200K", H343&lt;500000,"$200K–$500K",
     H343&gt;=500000,"$500K+")</f>
        <v>$500K+</v>
      </c>
      <c r="J343" s="9" t="str">
        <f t="shared" si="25"/>
        <v>2020s</v>
      </c>
      <c r="K343">
        <f t="shared" si="26"/>
        <v>0.13433139830940014</v>
      </c>
      <c r="L343">
        <f t="shared" si="27"/>
        <v>0.68129330254041576</v>
      </c>
      <c r="M343">
        <f t="shared" si="28"/>
        <v>0.87234042553191493</v>
      </c>
      <c r="N343">
        <f t="shared" si="29"/>
        <v>0.5626550421272436</v>
      </c>
    </row>
    <row r="344" spans="1:14">
      <c r="A344" t="s">
        <v>18</v>
      </c>
      <c r="B344" t="s">
        <v>175</v>
      </c>
      <c r="C344">
        <v>2022</v>
      </c>
      <c r="D344">
        <v>6.2</v>
      </c>
      <c r="E344">
        <v>717</v>
      </c>
      <c r="F344">
        <v>656</v>
      </c>
      <c r="G344">
        <v>3.5</v>
      </c>
      <c r="H344" s="4">
        <v>67500</v>
      </c>
      <c r="I344" s="8" t="str" cm="1">
        <f t="array" ref="I344">_xlfn.IFS(H344&lt;50000,"Under $50K", H344&lt;100000,"$50K–$100K",
     H344&lt;200000,"$100K–$200K", H344&lt;500000,"$200K–$500K",
     H344&gt;=500000,"$500K+")</f>
        <v>$50K–$100K</v>
      </c>
      <c r="J344" s="9" t="str">
        <f t="shared" si="25"/>
        <v>2020s</v>
      </c>
      <c r="K344">
        <f t="shared" si="26"/>
        <v>5.4588043588960182E-2</v>
      </c>
      <c r="L344">
        <f t="shared" si="27"/>
        <v>0.3787528868360277</v>
      </c>
      <c r="M344">
        <f t="shared" si="28"/>
        <v>0.63829787234042556</v>
      </c>
      <c r="N344">
        <f t="shared" si="29"/>
        <v>0.35721293425513778</v>
      </c>
    </row>
    <row r="345" spans="1:14">
      <c r="A345" t="s">
        <v>21</v>
      </c>
      <c r="B345" t="s">
        <v>72</v>
      </c>
      <c r="C345">
        <v>2021</v>
      </c>
      <c r="D345">
        <v>5</v>
      </c>
      <c r="E345">
        <v>575</v>
      </c>
      <c r="F345">
        <v>516</v>
      </c>
      <c r="G345">
        <v>3.5</v>
      </c>
      <c r="H345" s="4">
        <v>103200</v>
      </c>
      <c r="I345" s="8" t="str" cm="1">
        <f t="array" ref="I345">_xlfn.IFS(H345&lt;50000,"Under $50K", H345&lt;100000,"$50K–$100K",
     H345&lt;200000,"$100K–$200K", H345&lt;500000,"$200K–$500K",
     H345&gt;=500000,"$500K+")</f>
        <v>$100K–$200K</v>
      </c>
      <c r="J345" s="9" t="str">
        <f t="shared" si="25"/>
        <v>2020s</v>
      </c>
      <c r="K345">
        <f t="shared" si="26"/>
        <v>4.0126285772481923E-2</v>
      </c>
      <c r="L345">
        <f t="shared" si="27"/>
        <v>0.29792147806004621</v>
      </c>
      <c r="M345">
        <f t="shared" si="28"/>
        <v>0.63829787234042556</v>
      </c>
      <c r="N345">
        <f t="shared" si="29"/>
        <v>0.32544854539098456</v>
      </c>
    </row>
    <row r="346" spans="1:14">
      <c r="A346" t="s">
        <v>23</v>
      </c>
      <c r="B346" t="s">
        <v>73</v>
      </c>
      <c r="C346">
        <v>2022</v>
      </c>
      <c r="D346">
        <v>5</v>
      </c>
      <c r="E346">
        <v>1280</v>
      </c>
      <c r="F346">
        <v>1106</v>
      </c>
      <c r="G346">
        <v>2.5</v>
      </c>
      <c r="H346" s="4">
        <v>2800000</v>
      </c>
      <c r="I346" s="8" t="str" cm="1">
        <f t="array" ref="I346">_xlfn.IFS(H346&lt;50000,"Under $50K", H346&lt;100000,"$50K–$100K",
     H346&lt;200000,"$100K–$200K", H346&lt;500000,"$200K–$500K",
     H346&gt;=500000,"$500K+")</f>
        <v>$500K+</v>
      </c>
      <c r="J346" s="9" t="str">
        <f t="shared" si="25"/>
        <v>2020s</v>
      </c>
      <c r="K346">
        <f t="shared" si="26"/>
        <v>0.11192585803034932</v>
      </c>
      <c r="L346">
        <f t="shared" si="27"/>
        <v>0.63856812933025409</v>
      </c>
      <c r="M346">
        <f t="shared" si="28"/>
        <v>0.85106382978723405</v>
      </c>
      <c r="N346">
        <f t="shared" si="29"/>
        <v>0.53385260571594584</v>
      </c>
    </row>
    <row r="347" spans="1:14">
      <c r="A347" t="s">
        <v>25</v>
      </c>
      <c r="B347" t="s">
        <v>176</v>
      </c>
      <c r="C347">
        <v>2021</v>
      </c>
      <c r="D347">
        <v>5</v>
      </c>
      <c r="E347">
        <v>471</v>
      </c>
      <c r="F347">
        <v>398</v>
      </c>
      <c r="G347">
        <v>4.4000000000000004</v>
      </c>
      <c r="H347" s="4">
        <v>92950</v>
      </c>
      <c r="I347" s="8" t="str" cm="1">
        <f t="array" ref="I347">_xlfn.IFS(H347&lt;50000,"Under $50K", H347&lt;100000,"$50K–$100K",
     H347&lt;200000,"$100K–$200K", H347&lt;500000,"$200K–$500K",
     H347&gt;=500000,"$500K+")</f>
        <v>$50K–$100K</v>
      </c>
      <c r="J347" s="9" t="str">
        <f t="shared" si="25"/>
        <v>2020s</v>
      </c>
      <c r="K347">
        <f t="shared" si="26"/>
        <v>2.9534575822385171E-2</v>
      </c>
      <c r="L347">
        <f t="shared" si="27"/>
        <v>0.22979214780600463</v>
      </c>
      <c r="M347">
        <f t="shared" si="28"/>
        <v>0.44680851063829774</v>
      </c>
      <c r="N347">
        <f t="shared" si="29"/>
        <v>0.23537841142222918</v>
      </c>
    </row>
    <row r="348" spans="1:14">
      <c r="A348" t="s">
        <v>26</v>
      </c>
      <c r="B348" t="s">
        <v>75</v>
      </c>
      <c r="C348">
        <v>2021</v>
      </c>
      <c r="D348">
        <v>3.5</v>
      </c>
      <c r="E348">
        <v>416</v>
      </c>
      <c r="F348">
        <v>317</v>
      </c>
      <c r="G348">
        <v>3.8</v>
      </c>
      <c r="H348" s="4">
        <v>104200</v>
      </c>
      <c r="I348" s="8" t="str" cm="1">
        <f t="array" ref="I348">_xlfn.IFS(H348&lt;50000,"Under $50K", H348&lt;100000,"$50K–$100K",
     H348&lt;200000,"$100K–$200K", H348&lt;500000,"$200K–$500K",
     H348&gt;=500000,"$500K+")</f>
        <v>$100K–$200K</v>
      </c>
      <c r="J348" s="9" t="str">
        <f t="shared" si="25"/>
        <v>2020s</v>
      </c>
      <c r="K348">
        <f t="shared" si="26"/>
        <v>2.3933190752622468E-2</v>
      </c>
      <c r="L348">
        <f t="shared" si="27"/>
        <v>0.18302540415704388</v>
      </c>
      <c r="M348">
        <f t="shared" si="28"/>
        <v>0.57446808510638303</v>
      </c>
      <c r="N348">
        <f t="shared" si="29"/>
        <v>0.26047556000534983</v>
      </c>
    </row>
    <row r="349" spans="1:14">
      <c r="A349" t="s">
        <v>27</v>
      </c>
      <c r="B349" t="s">
        <v>76</v>
      </c>
      <c r="C349">
        <v>2021</v>
      </c>
      <c r="D349">
        <v>4.7</v>
      </c>
      <c r="E349">
        <v>454</v>
      </c>
      <c r="F349">
        <v>384</v>
      </c>
      <c r="G349">
        <v>4.7</v>
      </c>
      <c r="H349" s="4">
        <v>133050</v>
      </c>
      <c r="I349" s="8" t="str" cm="1">
        <f t="array" ref="I349">_xlfn.IFS(H349&lt;50000,"Under $50K", H349&lt;100000,"$50K–$100K",
     H349&lt;200000,"$100K–$200K", H349&lt;500000,"$200K–$500K",
     H349&gt;=500000,"$500K+")</f>
        <v>$100K–$200K</v>
      </c>
      <c r="J349" s="9" t="str">
        <f t="shared" si="25"/>
        <v>2020s</v>
      </c>
      <c r="K349">
        <f t="shared" si="26"/>
        <v>2.7803238619003971E-2</v>
      </c>
      <c r="L349">
        <f t="shared" si="27"/>
        <v>0.22170900692840648</v>
      </c>
      <c r="M349">
        <f t="shared" si="28"/>
        <v>0.38297872340425532</v>
      </c>
      <c r="N349">
        <f t="shared" si="29"/>
        <v>0.2108303229838886</v>
      </c>
    </row>
    <row r="350" spans="1:14">
      <c r="A350" t="s">
        <v>29</v>
      </c>
      <c r="B350" t="s">
        <v>103</v>
      </c>
      <c r="C350">
        <v>2021</v>
      </c>
      <c r="D350">
        <v>3.8</v>
      </c>
      <c r="E350">
        <v>562</v>
      </c>
      <c r="F350">
        <v>443</v>
      </c>
      <c r="G350">
        <v>3.1</v>
      </c>
      <c r="H350" s="4">
        <v>196350</v>
      </c>
      <c r="I350" s="8" t="str" cm="1">
        <f t="array" ref="I350">_xlfn.IFS(H350&lt;50000,"Under $50K", H350&lt;100000,"$50K–$100K",
     H350&lt;200000,"$100K–$200K", H350&lt;500000,"$200K–$500K",
     H350&gt;=500000,"$500K+")</f>
        <v>$100K–$200K</v>
      </c>
      <c r="J350" s="9" t="str">
        <f t="shared" si="25"/>
        <v>2020s</v>
      </c>
      <c r="K350">
        <f t="shared" si="26"/>
        <v>3.8802322028719832E-2</v>
      </c>
      <c r="L350">
        <f t="shared" si="27"/>
        <v>0.25577367205542723</v>
      </c>
      <c r="M350">
        <f t="shared" si="28"/>
        <v>0.72340425531914887</v>
      </c>
      <c r="N350">
        <f t="shared" si="29"/>
        <v>0.33932674980109861</v>
      </c>
    </row>
    <row r="351" spans="1:14">
      <c r="A351" t="s">
        <v>31</v>
      </c>
      <c r="B351" t="s">
        <v>104</v>
      </c>
      <c r="C351">
        <v>2022</v>
      </c>
      <c r="D351">
        <v>4</v>
      </c>
      <c r="E351">
        <v>503</v>
      </c>
      <c r="F351">
        <v>516</v>
      </c>
      <c r="G351">
        <v>3.8</v>
      </c>
      <c r="H351" s="4">
        <v>69900</v>
      </c>
      <c r="I351" s="8" t="str" cm="1">
        <f t="array" ref="I351">_xlfn.IFS(H351&lt;50000,"Under $50K", H351&lt;100000,"$50K–$100K",
     H351&lt;200000,"$100K–$200K", H351&lt;500000,"$200K–$500K",
     H351&gt;=500000,"$500K+")</f>
        <v>$50K–$100K</v>
      </c>
      <c r="J351" s="9" t="str">
        <f t="shared" si="25"/>
        <v>2020s</v>
      </c>
      <c r="K351">
        <f t="shared" si="26"/>
        <v>3.279356349933802E-2</v>
      </c>
      <c r="L351">
        <f t="shared" si="27"/>
        <v>0.29792147806004621</v>
      </c>
      <c r="M351">
        <f t="shared" si="28"/>
        <v>0.57446808510638303</v>
      </c>
      <c r="N351">
        <f t="shared" si="29"/>
        <v>0.30172770888858907</v>
      </c>
    </row>
    <row r="352" spans="1:14">
      <c r="A352" t="s">
        <v>33</v>
      </c>
      <c r="B352" t="s">
        <v>177</v>
      </c>
      <c r="C352">
        <v>2021</v>
      </c>
      <c r="D352">
        <v>6</v>
      </c>
      <c r="E352">
        <v>791</v>
      </c>
      <c r="F352">
        <v>774</v>
      </c>
      <c r="G352">
        <v>2.7</v>
      </c>
      <c r="H352" s="4">
        <v>2600000</v>
      </c>
      <c r="I352" s="8" t="str" cm="1">
        <f t="array" ref="I352">_xlfn.IFS(H352&lt;50000,"Under $50K", H352&lt;100000,"$50K–$100K",
     H352&lt;200000,"$100K–$200K", H352&lt;500000,"$200K–$500K",
     H352&gt;=500000,"$500K+")</f>
        <v>$500K+</v>
      </c>
      <c r="J352" s="9" t="str">
        <f t="shared" si="25"/>
        <v>2020s</v>
      </c>
      <c r="K352">
        <f t="shared" si="26"/>
        <v>6.212445259191364E-2</v>
      </c>
      <c r="L352">
        <f t="shared" si="27"/>
        <v>0.44688221709006931</v>
      </c>
      <c r="M352">
        <f t="shared" si="28"/>
        <v>0.80851063829787229</v>
      </c>
      <c r="N352">
        <f t="shared" si="29"/>
        <v>0.43917243599328509</v>
      </c>
    </row>
    <row r="353" spans="1:14">
      <c r="A353" t="s">
        <v>36</v>
      </c>
      <c r="B353" t="s">
        <v>86</v>
      </c>
      <c r="C353">
        <v>2022</v>
      </c>
      <c r="D353">
        <v>4</v>
      </c>
      <c r="E353">
        <v>414</v>
      </c>
      <c r="F353">
        <v>309</v>
      </c>
      <c r="G353">
        <v>4.2</v>
      </c>
      <c r="H353" s="4">
        <v>102900</v>
      </c>
      <c r="I353" s="8" t="str" cm="1">
        <f t="array" ref="I353">_xlfn.IFS(H353&lt;50000,"Under $50K", H353&lt;100000,"$50K–$100K",
     H353&lt;200000,"$100K–$200K", H353&lt;500000,"$200K–$500K",
     H353&gt;=500000,"$500K+")</f>
        <v>$100K–$200K</v>
      </c>
      <c r="J353" s="9" t="str">
        <f t="shared" si="25"/>
        <v>2020s</v>
      </c>
      <c r="K353">
        <f t="shared" si="26"/>
        <v>2.3729504022812913E-2</v>
      </c>
      <c r="L353">
        <f t="shared" si="27"/>
        <v>0.17840646651270209</v>
      </c>
      <c r="M353">
        <f t="shared" si="28"/>
        <v>0.4893617021276595</v>
      </c>
      <c r="N353">
        <f t="shared" si="29"/>
        <v>0.23049922422105817</v>
      </c>
    </row>
    <row r="354" spans="1:14">
      <c r="A354" t="s">
        <v>37</v>
      </c>
      <c r="B354" t="s">
        <v>84</v>
      </c>
      <c r="C354">
        <v>2022</v>
      </c>
      <c r="D354" t="s">
        <v>85</v>
      </c>
      <c r="E354">
        <v>1914</v>
      </c>
      <c r="F354">
        <v>1696</v>
      </c>
      <c r="G354">
        <v>1.85</v>
      </c>
      <c r="H354" s="4">
        <v>2400000</v>
      </c>
      <c r="I354" s="8" t="str" cm="1">
        <f t="array" ref="I354">_xlfn.IFS(H354&lt;50000,"Under $50K", H354&lt;100000,"$50K–$100K",
     H354&lt;200000,"$100K–$200K", H354&lt;500000,"$200K–$500K",
     H354&gt;=500000,"$500K+")</f>
        <v>$500K+</v>
      </c>
      <c r="J354" s="9" t="str">
        <f t="shared" si="25"/>
        <v>2020s</v>
      </c>
      <c r="K354">
        <f t="shared" si="26"/>
        <v>0.1764945513799776</v>
      </c>
      <c r="L354">
        <f t="shared" si="27"/>
        <v>0.97921478060046185</v>
      </c>
      <c r="M354">
        <f t="shared" si="28"/>
        <v>0.98936170212765961</v>
      </c>
      <c r="N354">
        <f t="shared" si="29"/>
        <v>0.71502367803603306</v>
      </c>
    </row>
    <row r="355" spans="1:14">
      <c r="A355" t="s">
        <v>38</v>
      </c>
      <c r="B355" t="s">
        <v>126</v>
      </c>
      <c r="C355">
        <v>2021</v>
      </c>
      <c r="D355">
        <v>6.7</v>
      </c>
      <c r="E355">
        <v>624</v>
      </c>
      <c r="F355">
        <v>605</v>
      </c>
      <c r="G355">
        <v>4.4000000000000004</v>
      </c>
      <c r="H355" s="4">
        <v>338000</v>
      </c>
      <c r="I355" s="8" t="str" cm="1">
        <f t="array" ref="I355">_xlfn.IFS(H355&lt;50000,"Under $50K", H355&lt;100000,"$50K–$100K",
     H355&lt;200000,"$100K–$200K", H355&lt;500000,"$200K–$500K",
     H355&gt;=500000,"$500K+")</f>
        <v>$200K–$500K</v>
      </c>
      <c r="J355" s="9" t="str">
        <f t="shared" si="25"/>
        <v>2020s</v>
      </c>
      <c r="K355">
        <f t="shared" si="26"/>
        <v>4.5116610652815969E-2</v>
      </c>
      <c r="L355">
        <f t="shared" si="27"/>
        <v>0.34930715935334872</v>
      </c>
      <c r="M355">
        <f t="shared" si="28"/>
        <v>0.44680851063829774</v>
      </c>
      <c r="N355">
        <f t="shared" si="29"/>
        <v>0.28041076021482081</v>
      </c>
    </row>
    <row r="356" spans="1:14">
      <c r="A356" t="s">
        <v>41</v>
      </c>
      <c r="B356" t="s">
        <v>127</v>
      </c>
      <c r="C356">
        <v>2022</v>
      </c>
      <c r="D356" t="s">
        <v>85</v>
      </c>
      <c r="E356" t="s">
        <v>128</v>
      </c>
      <c r="F356" t="s">
        <v>178</v>
      </c>
      <c r="G356">
        <v>1.9</v>
      </c>
      <c r="H356" s="4">
        <v>200000</v>
      </c>
      <c r="I356" s="8" t="str" cm="1">
        <f t="array" ref="I356">_xlfn.IFS(H356&lt;50000,"Under $50K", H356&lt;100000,"$50K–$100K",
     H356&lt;200000,"$100K–$200K", H356&lt;500000,"$200K–$500K",
     H356&gt;=500000,"$500K+")</f>
        <v>$200K–$500K</v>
      </c>
      <c r="J356" s="9" t="str">
        <f t="shared" si="25"/>
        <v>2020s</v>
      </c>
      <c r="K356" t="e">
        <f t="shared" si="26"/>
        <v>#VALUE!</v>
      </c>
      <c r="L356" t="e">
        <f t="shared" si="27"/>
        <v>#VALUE!</v>
      </c>
      <c r="M356">
        <f t="shared" si="28"/>
        <v>0.97872340425531923</v>
      </c>
      <c r="N356" t="e">
        <f t="shared" si="29"/>
        <v>#VALUE!</v>
      </c>
    </row>
    <row r="357" spans="1:14">
      <c r="A357" t="s">
        <v>8</v>
      </c>
      <c r="B357" t="s">
        <v>123</v>
      </c>
      <c r="C357">
        <v>2022</v>
      </c>
      <c r="D357">
        <v>3.5</v>
      </c>
      <c r="E357">
        <v>573</v>
      </c>
      <c r="F357">
        <v>476</v>
      </c>
      <c r="G357">
        <v>2.7</v>
      </c>
      <c r="H357" s="4">
        <v>157500</v>
      </c>
      <c r="I357" s="8" t="str" cm="1">
        <f t="array" ref="I357">_xlfn.IFS(H357&lt;50000,"Under $50K", H357&lt;100000,"$50K–$100K",
     H357&lt;200000,"$100K–$200K", H357&lt;500000,"$200K–$500K",
     H357&gt;=500000,"$500K+")</f>
        <v>$100K–$200K</v>
      </c>
      <c r="J357" s="9" t="str">
        <f t="shared" si="25"/>
        <v>2020s</v>
      </c>
      <c r="K357">
        <f t="shared" si="26"/>
        <v>3.9922599042672369E-2</v>
      </c>
      <c r="L357">
        <f t="shared" si="27"/>
        <v>0.27482678983833719</v>
      </c>
      <c r="M357">
        <f t="shared" si="28"/>
        <v>0.80851063829787229</v>
      </c>
      <c r="N357">
        <f t="shared" si="29"/>
        <v>0.3744200090596273</v>
      </c>
    </row>
    <row r="358" spans="1:14">
      <c r="A358" t="s">
        <v>12</v>
      </c>
      <c r="B358" t="s">
        <v>107</v>
      </c>
      <c r="C358">
        <v>2021</v>
      </c>
      <c r="D358">
        <v>4</v>
      </c>
      <c r="E358">
        <v>503</v>
      </c>
      <c r="F358">
        <v>505</v>
      </c>
      <c r="G358">
        <v>3.5</v>
      </c>
      <c r="H358" s="4">
        <v>150000</v>
      </c>
      <c r="I358" s="8" t="str" cm="1">
        <f t="array" ref="I358">_xlfn.IFS(H358&lt;50000,"Under $50K", H358&lt;100000,"$50K–$100K",
     H358&lt;200000,"$100K–$200K", H358&lt;500000,"$200K–$500K",
     H358&gt;=500000,"$500K+")</f>
        <v>$100K–$200K</v>
      </c>
      <c r="J358" s="9" t="str">
        <f t="shared" si="25"/>
        <v>2020s</v>
      </c>
      <c r="K358">
        <f t="shared" si="26"/>
        <v>3.279356349933802E-2</v>
      </c>
      <c r="L358">
        <f t="shared" si="27"/>
        <v>0.29157043879907624</v>
      </c>
      <c r="M358">
        <f t="shared" si="28"/>
        <v>0.63829787234042556</v>
      </c>
      <c r="N358">
        <f t="shared" si="29"/>
        <v>0.32088729154627993</v>
      </c>
    </row>
    <row r="359" spans="1:14">
      <c r="A359" t="s">
        <v>14</v>
      </c>
      <c r="B359" t="s">
        <v>80</v>
      </c>
      <c r="C359">
        <v>2021</v>
      </c>
      <c r="D359">
        <v>6</v>
      </c>
      <c r="E359">
        <v>626</v>
      </c>
      <c r="F359">
        <v>664</v>
      </c>
      <c r="G359">
        <v>3.6</v>
      </c>
      <c r="H359" s="4">
        <v>218400</v>
      </c>
      <c r="I359" s="8" t="str" cm="1">
        <f t="array" ref="I359">_xlfn.IFS(H359&lt;50000,"Under $50K", H359&lt;100000,"$50K–$100K",
     H359&lt;200000,"$100K–$200K", H359&lt;500000,"$200K–$500K",
     H359&gt;=500000,"$500K+")</f>
        <v>$200K–$500K</v>
      </c>
      <c r="J359" s="9" t="str">
        <f t="shared" si="25"/>
        <v>2020s</v>
      </c>
      <c r="K359">
        <f t="shared" si="26"/>
        <v>4.5320297382625524E-2</v>
      </c>
      <c r="L359">
        <f t="shared" si="27"/>
        <v>0.38337182448036949</v>
      </c>
      <c r="M359">
        <f t="shared" si="28"/>
        <v>0.61702127659574468</v>
      </c>
      <c r="N359">
        <f t="shared" si="29"/>
        <v>0.34857113281957991</v>
      </c>
    </row>
    <row r="360" spans="1:14">
      <c r="A360" t="s">
        <v>18</v>
      </c>
      <c r="B360" t="s">
        <v>114</v>
      </c>
      <c r="C360">
        <v>2021</v>
      </c>
      <c r="D360">
        <v>6.2</v>
      </c>
      <c r="E360">
        <v>797</v>
      </c>
      <c r="F360">
        <v>707</v>
      </c>
      <c r="G360">
        <v>3.5</v>
      </c>
      <c r="H360" s="4">
        <v>73000</v>
      </c>
      <c r="I360" s="8" t="str" cm="1">
        <f t="array" ref="I360">_xlfn.IFS(H360&lt;50000,"Under $50K", H360&lt;100000,"$50K–$100K",
     H360&lt;200000,"$100K–$200K", H360&lt;500000,"$200K–$500K",
     H360&gt;=500000,"$500K+")</f>
        <v>$50K–$100K</v>
      </c>
      <c r="J360" s="9" t="str">
        <f t="shared" si="25"/>
        <v>2020s</v>
      </c>
      <c r="K360">
        <f t="shared" si="26"/>
        <v>6.273551278134229E-2</v>
      </c>
      <c r="L360">
        <f t="shared" si="27"/>
        <v>0.40819861431870669</v>
      </c>
      <c r="M360">
        <f t="shared" si="28"/>
        <v>0.63829787234042556</v>
      </c>
      <c r="N360">
        <f t="shared" si="29"/>
        <v>0.36974399981349154</v>
      </c>
    </row>
    <row r="361" spans="1:14">
      <c r="A361" t="s">
        <v>21</v>
      </c>
      <c r="B361" t="s">
        <v>160</v>
      </c>
      <c r="C361">
        <v>2022</v>
      </c>
      <c r="D361">
        <v>5</v>
      </c>
      <c r="E361">
        <v>575</v>
      </c>
      <c r="F361">
        <v>516</v>
      </c>
      <c r="G361">
        <v>3.5</v>
      </c>
      <c r="H361" s="4">
        <v>103200</v>
      </c>
      <c r="I361" s="8" t="str" cm="1">
        <f t="array" ref="I361">_xlfn.IFS(H361&lt;50000,"Under $50K", H361&lt;100000,"$50K–$100K",
     H361&lt;200000,"$100K–$200K", H361&lt;500000,"$200K–$500K",
     H361&gt;=500000,"$500K+")</f>
        <v>$100K–$200K</v>
      </c>
      <c r="J361" s="9" t="str">
        <f t="shared" si="25"/>
        <v>2020s</v>
      </c>
      <c r="K361">
        <f t="shared" si="26"/>
        <v>4.0126285772481923E-2</v>
      </c>
      <c r="L361">
        <f t="shared" si="27"/>
        <v>0.29792147806004621</v>
      </c>
      <c r="M361">
        <f t="shared" si="28"/>
        <v>0.63829787234042556</v>
      </c>
      <c r="N361">
        <f t="shared" si="29"/>
        <v>0.32544854539098456</v>
      </c>
    </row>
    <row r="362" spans="1:14">
      <c r="A362" t="s">
        <v>25</v>
      </c>
      <c r="B362" t="s">
        <v>74</v>
      </c>
      <c r="C362">
        <v>2021</v>
      </c>
      <c r="D362">
        <v>5</v>
      </c>
      <c r="E362">
        <v>471</v>
      </c>
      <c r="F362">
        <v>398</v>
      </c>
      <c r="G362">
        <v>4.4000000000000004</v>
      </c>
      <c r="H362" s="4">
        <v>92950</v>
      </c>
      <c r="I362" s="8" t="str" cm="1">
        <f t="array" ref="I362">_xlfn.IFS(H362&lt;50000,"Under $50K", H362&lt;100000,"$50K–$100K",
     H362&lt;200000,"$100K–$200K", H362&lt;500000,"$200K–$500K",
     H362&gt;=500000,"$500K+")</f>
        <v>$50K–$100K</v>
      </c>
      <c r="J362" s="9" t="str">
        <f t="shared" si="25"/>
        <v>2020s</v>
      </c>
      <c r="K362">
        <f t="shared" si="26"/>
        <v>2.9534575822385171E-2</v>
      </c>
      <c r="L362">
        <f t="shared" si="27"/>
        <v>0.22979214780600463</v>
      </c>
      <c r="M362">
        <f t="shared" si="28"/>
        <v>0.44680851063829774</v>
      </c>
      <c r="N362">
        <f t="shared" si="29"/>
        <v>0.23537841142222918</v>
      </c>
    </row>
    <row r="363" spans="1:14">
      <c r="A363" t="s">
        <v>26</v>
      </c>
      <c r="B363" t="s">
        <v>75</v>
      </c>
      <c r="C363">
        <v>2021</v>
      </c>
      <c r="D363">
        <v>3.5</v>
      </c>
      <c r="E363">
        <v>416</v>
      </c>
      <c r="F363">
        <v>317</v>
      </c>
      <c r="G363">
        <v>3.8</v>
      </c>
      <c r="H363" s="4">
        <v>104970</v>
      </c>
      <c r="I363" s="8" t="str" cm="1">
        <f t="array" ref="I363">_xlfn.IFS(H363&lt;50000,"Under $50K", H363&lt;100000,"$50K–$100K",
     H363&lt;200000,"$100K–$200K", H363&lt;500000,"$200K–$500K",
     H363&gt;=500000,"$500K+")</f>
        <v>$100K–$200K</v>
      </c>
      <c r="J363" s="9" t="str">
        <f t="shared" si="25"/>
        <v>2020s</v>
      </c>
      <c r="K363">
        <f t="shared" si="26"/>
        <v>2.3933190752622468E-2</v>
      </c>
      <c r="L363">
        <f t="shared" si="27"/>
        <v>0.18302540415704388</v>
      </c>
      <c r="M363">
        <f t="shared" si="28"/>
        <v>0.57446808510638303</v>
      </c>
      <c r="N363">
        <f t="shared" si="29"/>
        <v>0.26047556000534983</v>
      </c>
    </row>
    <row r="364" spans="1:14">
      <c r="A364" t="s">
        <v>27</v>
      </c>
      <c r="B364" t="s">
        <v>76</v>
      </c>
      <c r="C364">
        <v>2021</v>
      </c>
      <c r="D364">
        <v>4.7</v>
      </c>
      <c r="E364">
        <v>454</v>
      </c>
      <c r="F364">
        <v>384</v>
      </c>
      <c r="G364">
        <v>4.8</v>
      </c>
      <c r="H364" s="4">
        <v>132400</v>
      </c>
      <c r="I364" s="8" t="str" cm="1">
        <f t="array" ref="I364">_xlfn.IFS(H364&lt;50000,"Under $50K", H364&lt;100000,"$50K–$100K",
     H364&lt;200000,"$100K–$200K", H364&lt;500000,"$200K–$500K",
     H364&gt;=500000,"$500K+")</f>
        <v>$100K–$200K</v>
      </c>
      <c r="J364" s="9" t="str">
        <f t="shared" si="25"/>
        <v>2020s</v>
      </c>
      <c r="K364">
        <f t="shared" si="26"/>
        <v>2.7803238619003971E-2</v>
      </c>
      <c r="L364">
        <f t="shared" si="27"/>
        <v>0.22170900692840648</v>
      </c>
      <c r="M364">
        <f t="shared" si="28"/>
        <v>0.36170212765957455</v>
      </c>
      <c r="N364">
        <f t="shared" si="29"/>
        <v>0.20373812440232833</v>
      </c>
    </row>
    <row r="365" spans="1:14">
      <c r="A365" t="s">
        <v>36</v>
      </c>
      <c r="B365" t="s">
        <v>86</v>
      </c>
      <c r="C365">
        <v>2021</v>
      </c>
      <c r="D365">
        <v>4</v>
      </c>
      <c r="E365">
        <v>414</v>
      </c>
      <c r="F365">
        <v>309</v>
      </c>
      <c r="G365">
        <v>4.2</v>
      </c>
      <c r="H365" s="4">
        <v>101200</v>
      </c>
      <c r="I365" s="8" t="str" cm="1">
        <f t="array" ref="I365">_xlfn.IFS(H365&lt;50000,"Under $50K", H365&lt;100000,"$50K–$100K",
     H365&lt;200000,"$100K–$200K", H365&lt;500000,"$200K–$500K",
     H365&gt;=500000,"$500K+")</f>
        <v>$100K–$200K</v>
      </c>
      <c r="J365" s="9" t="str">
        <f t="shared" si="25"/>
        <v>2020s</v>
      </c>
      <c r="K365">
        <f t="shared" si="26"/>
        <v>2.3729504022812913E-2</v>
      </c>
      <c r="L365">
        <f t="shared" si="27"/>
        <v>0.17840646651270209</v>
      </c>
      <c r="M365">
        <f t="shared" si="28"/>
        <v>0.4893617021276595</v>
      </c>
      <c r="N365">
        <f t="shared" si="29"/>
        <v>0.23049922422105817</v>
      </c>
    </row>
    <row r="366" spans="1:14">
      <c r="A366" t="s">
        <v>41</v>
      </c>
      <c r="B366" t="s">
        <v>127</v>
      </c>
      <c r="C366">
        <v>2023</v>
      </c>
      <c r="D366" t="s">
        <v>85</v>
      </c>
      <c r="E366" t="s">
        <v>179</v>
      </c>
      <c r="F366">
        <v>737</v>
      </c>
      <c r="G366" t="s">
        <v>180</v>
      </c>
      <c r="H366" s="4">
        <v>200000</v>
      </c>
      <c r="I366" s="8" t="str" cm="1">
        <f t="array" ref="I366">_xlfn.IFS(H366&lt;50000,"Under $50K", H366&lt;100000,"$50K–$100K",
     H366&lt;200000,"$100K–$200K", H366&lt;500000,"$200K–$500K",
     H366&gt;=500000,"$500K+")</f>
        <v>$200K–$500K</v>
      </c>
      <c r="J366" s="9" t="str">
        <f t="shared" si="25"/>
        <v>2020s</v>
      </c>
      <c r="K366" t="e">
        <f t="shared" si="26"/>
        <v>#VALUE!</v>
      </c>
      <c r="L366">
        <f t="shared" si="27"/>
        <v>0.42551963048498848</v>
      </c>
      <c r="M366" t="e">
        <f t="shared" si="28"/>
        <v>#VALUE!</v>
      </c>
      <c r="N366" t="e">
        <f t="shared" si="29"/>
        <v>#VALUE!</v>
      </c>
    </row>
    <row r="367" spans="1:14">
      <c r="A367" t="s">
        <v>10</v>
      </c>
      <c r="B367" t="s">
        <v>181</v>
      </c>
      <c r="C367">
        <v>2021</v>
      </c>
      <c r="D367">
        <v>1.8</v>
      </c>
      <c r="E367">
        <v>288</v>
      </c>
      <c r="F367">
        <v>236</v>
      </c>
      <c r="G367">
        <v>4.4000000000000004</v>
      </c>
      <c r="H367" s="4">
        <v>71500</v>
      </c>
      <c r="I367" s="8" t="str" cm="1">
        <f t="array" ref="I367">_xlfn.IFS(H367&lt;50000,"Under $50K", H367&lt;100000,"$50K–$100K",
     H367&lt;200000,"$100K–$200K", H367&lt;500000,"$200K–$500K",
     H367&gt;=500000,"$500K+")</f>
        <v>$50K–$100K</v>
      </c>
      <c r="J367" s="9" t="str">
        <f t="shared" si="25"/>
        <v>2020s</v>
      </c>
      <c r="K367">
        <f t="shared" si="26"/>
        <v>1.0897240044811081E-2</v>
      </c>
      <c r="L367">
        <f t="shared" si="27"/>
        <v>0.13625866050808313</v>
      </c>
      <c r="M367">
        <f t="shared" si="28"/>
        <v>0.44680851063829774</v>
      </c>
      <c r="N367">
        <f t="shared" si="29"/>
        <v>0.19798813706373064</v>
      </c>
    </row>
    <row r="368" spans="1:14">
      <c r="A368" t="s">
        <v>13</v>
      </c>
      <c r="B368" t="s">
        <v>89</v>
      </c>
      <c r="C368">
        <v>2021</v>
      </c>
      <c r="D368">
        <v>4</v>
      </c>
      <c r="E368">
        <v>591</v>
      </c>
      <c r="F368">
        <v>590</v>
      </c>
      <c r="G368">
        <v>3.5</v>
      </c>
      <c r="H368" s="4">
        <v>114000</v>
      </c>
      <c r="I368" s="8" t="str" cm="1">
        <f t="array" ref="I368">_xlfn.IFS(H368&lt;50000,"Under $50K", H368&lt;100000,"$50K–$100K",
     H368&lt;200000,"$100K–$200K", H368&lt;500000,"$200K–$500K",
     H368&gt;=500000,"$500K+")</f>
        <v>$100K–$200K</v>
      </c>
      <c r="J368" s="9" t="str">
        <f t="shared" si="25"/>
        <v>2020s</v>
      </c>
      <c r="K368">
        <f t="shared" si="26"/>
        <v>4.1755779610958346E-2</v>
      </c>
      <c r="L368">
        <f t="shared" si="27"/>
        <v>0.34064665127020788</v>
      </c>
      <c r="M368">
        <f t="shared" si="28"/>
        <v>0.63829787234042556</v>
      </c>
      <c r="N368">
        <f t="shared" si="29"/>
        <v>0.34023343440719728</v>
      </c>
    </row>
    <row r="369" spans="1:14">
      <c r="A369" t="s">
        <v>15</v>
      </c>
      <c r="B369" t="s">
        <v>90</v>
      </c>
      <c r="C369">
        <v>2021</v>
      </c>
      <c r="D369">
        <v>3</v>
      </c>
      <c r="E369">
        <v>473</v>
      </c>
      <c r="F369">
        <v>406</v>
      </c>
      <c r="G369">
        <v>4.0999999999999996</v>
      </c>
      <c r="H369" s="4">
        <v>71800</v>
      </c>
      <c r="I369" s="8" t="str" cm="1">
        <f t="array" ref="I369">_xlfn.IFS(H369&lt;50000,"Under $50K", H369&lt;100000,"$50K–$100K",
     H369&lt;200000,"$100K–$200K", H369&lt;500000,"$200K–$500K",
     H369&gt;=500000,"$500K+")</f>
        <v>$50K–$100K</v>
      </c>
      <c r="J369" s="9" t="str">
        <f t="shared" si="25"/>
        <v>2020s</v>
      </c>
      <c r="K369">
        <f t="shared" si="26"/>
        <v>2.9738262552194725E-2</v>
      </c>
      <c r="L369">
        <f t="shared" si="27"/>
        <v>0.23441108545034642</v>
      </c>
      <c r="M369">
        <f t="shared" si="28"/>
        <v>0.5106382978723405</v>
      </c>
      <c r="N369">
        <f t="shared" si="29"/>
        <v>0.25826254862496056</v>
      </c>
    </row>
    <row r="370" spans="1:14">
      <c r="A370" t="s">
        <v>17</v>
      </c>
      <c r="B370" t="s">
        <v>91</v>
      </c>
      <c r="C370">
        <v>2021</v>
      </c>
      <c r="D370">
        <v>6.2</v>
      </c>
      <c r="E370">
        <v>650</v>
      </c>
      <c r="F370">
        <v>650</v>
      </c>
      <c r="G370">
        <v>3.5</v>
      </c>
      <c r="H370" s="4">
        <v>64195</v>
      </c>
      <c r="I370" s="8" t="str" cm="1">
        <f t="array" ref="I370">_xlfn.IFS(H370&lt;50000,"Under $50K", H370&lt;100000,"$50K–$100K",
     H370&lt;200000,"$100K–$200K", H370&lt;500000,"$200K–$500K",
     H370&gt;=500000,"$500K+")</f>
        <v>$50K–$100K</v>
      </c>
      <c r="J370" s="9" t="str">
        <f t="shared" si="25"/>
        <v>2020s</v>
      </c>
      <c r="K370">
        <f t="shared" si="26"/>
        <v>4.7764538140340158E-2</v>
      </c>
      <c r="L370">
        <f t="shared" si="27"/>
        <v>0.37528868360277134</v>
      </c>
      <c r="M370">
        <f t="shared" si="28"/>
        <v>0.63829787234042556</v>
      </c>
      <c r="N370">
        <f t="shared" si="29"/>
        <v>0.35378369802784571</v>
      </c>
    </row>
    <row r="371" spans="1:14">
      <c r="A371" t="s">
        <v>18</v>
      </c>
      <c r="B371" t="s">
        <v>139</v>
      </c>
      <c r="C371">
        <v>2017</v>
      </c>
      <c r="D371">
        <v>8.4</v>
      </c>
      <c r="E371">
        <v>645</v>
      </c>
      <c r="F371">
        <v>600</v>
      </c>
      <c r="G371">
        <v>3.3</v>
      </c>
      <c r="H371" s="4">
        <v>118795</v>
      </c>
      <c r="I371" s="8" t="str" cm="1">
        <f t="array" ref="I371">_xlfn.IFS(H371&lt;50000,"Under $50K", H371&lt;100000,"$50K–$100K",
     H371&lt;200000,"$100K–$200K", H371&lt;500000,"$200K–$500K",
     H371&gt;=500000,"$500K+")</f>
        <v>$100K–$200K</v>
      </c>
      <c r="J371" s="9" t="str">
        <f t="shared" si="25"/>
        <v>2010s</v>
      </c>
      <c r="K371">
        <f t="shared" si="26"/>
        <v>4.7255321315816272E-2</v>
      </c>
      <c r="L371">
        <f t="shared" si="27"/>
        <v>0.3464203233256351</v>
      </c>
      <c r="M371">
        <f t="shared" si="28"/>
        <v>0.68085106382978733</v>
      </c>
      <c r="N371">
        <f t="shared" si="29"/>
        <v>0.3581755694904129</v>
      </c>
    </row>
    <row r="372" spans="1:14">
      <c r="A372" t="s">
        <v>19</v>
      </c>
      <c r="B372" t="s">
        <v>134</v>
      </c>
      <c r="C372">
        <v>2021</v>
      </c>
      <c r="D372">
        <v>3.9</v>
      </c>
      <c r="E372">
        <v>591</v>
      </c>
      <c r="F372">
        <v>560</v>
      </c>
      <c r="G372">
        <v>3.5</v>
      </c>
      <c r="H372" s="4">
        <v>218750</v>
      </c>
      <c r="I372" s="8" t="str" cm="1">
        <f t="array" ref="I372">_xlfn.IFS(H372&lt;50000,"Under $50K", H372&lt;100000,"$50K–$100K",
     H372&lt;200000,"$100K–$200K", H372&lt;500000,"$200K–$500K",
     H372&gt;=500000,"$500K+")</f>
        <v>$200K–$500K</v>
      </c>
      <c r="J372" s="9" t="str">
        <f t="shared" si="25"/>
        <v>2020s</v>
      </c>
      <c r="K372">
        <f t="shared" si="26"/>
        <v>4.1755779610958346E-2</v>
      </c>
      <c r="L372">
        <f t="shared" si="27"/>
        <v>0.32332563510392609</v>
      </c>
      <c r="M372">
        <f t="shared" si="28"/>
        <v>0.63829787234042556</v>
      </c>
      <c r="N372">
        <f t="shared" si="29"/>
        <v>0.33445976235177</v>
      </c>
    </row>
    <row r="373" spans="1:14">
      <c r="A373" t="s">
        <v>21</v>
      </c>
      <c r="B373" t="s">
        <v>72</v>
      </c>
      <c r="C373">
        <v>2022</v>
      </c>
      <c r="D373">
        <v>3</v>
      </c>
      <c r="E373">
        <v>296</v>
      </c>
      <c r="F373">
        <v>295</v>
      </c>
      <c r="G373">
        <v>5.4</v>
      </c>
      <c r="H373" s="4">
        <v>61600</v>
      </c>
      <c r="I373" s="8" t="str" cm="1">
        <f t="array" ref="I373">_xlfn.IFS(H373&lt;50000,"Under $50K", H373&lt;100000,"$50K–$100K",
     H373&lt;200000,"$100K–$200K", H373&lt;500000,"$200K–$500K",
     H373&gt;=500000,"$500K+")</f>
        <v>$50K–$100K</v>
      </c>
      <c r="J373" s="9" t="str">
        <f t="shared" si="25"/>
        <v>2020s</v>
      </c>
      <c r="K373">
        <f t="shared" si="26"/>
        <v>1.1711986964049292E-2</v>
      </c>
      <c r="L373">
        <f t="shared" si="27"/>
        <v>0.17032332563510394</v>
      </c>
      <c r="M373">
        <f t="shared" si="28"/>
        <v>0.23404255319148926</v>
      </c>
      <c r="N373">
        <f t="shared" si="29"/>
        <v>0.13869262193021417</v>
      </c>
    </row>
    <row r="374" spans="1:14">
      <c r="A374" t="s">
        <v>24</v>
      </c>
      <c r="B374" t="s">
        <v>87</v>
      </c>
      <c r="C374">
        <v>2021</v>
      </c>
      <c r="D374">
        <v>6.5</v>
      </c>
      <c r="E374">
        <v>770</v>
      </c>
      <c r="F374">
        <v>531</v>
      </c>
      <c r="G374">
        <v>2.8</v>
      </c>
      <c r="H374" s="4">
        <v>517700</v>
      </c>
      <c r="I374" s="8" t="str" cm="1">
        <f t="array" ref="I374">_xlfn.IFS(H374&lt;50000,"Under $50K", H374&lt;100000,"$50K–$100K",
     H374&lt;200000,"$100K–$200K", H374&lt;500000,"$200K–$500K",
     H374&gt;=500000,"$500K+")</f>
        <v>$500K+</v>
      </c>
      <c r="J374" s="9" t="str">
        <f t="shared" si="25"/>
        <v>2020s</v>
      </c>
      <c r="K374">
        <f t="shared" si="26"/>
        <v>5.998574192891333E-2</v>
      </c>
      <c r="L374">
        <f t="shared" si="27"/>
        <v>0.30658198614318705</v>
      </c>
      <c r="M374">
        <f t="shared" si="28"/>
        <v>0.78723404255319152</v>
      </c>
      <c r="N374">
        <f t="shared" si="29"/>
        <v>0.38460059020843063</v>
      </c>
    </row>
    <row r="375" spans="1:14">
      <c r="A375" t="s">
        <v>29</v>
      </c>
      <c r="B375" t="s">
        <v>110</v>
      </c>
      <c r="C375">
        <v>2021</v>
      </c>
      <c r="D375">
        <v>3.8</v>
      </c>
      <c r="E375">
        <v>592</v>
      </c>
      <c r="F375">
        <v>457</v>
      </c>
      <c r="G375">
        <v>2.8</v>
      </c>
      <c r="H375" s="4">
        <v>240000</v>
      </c>
      <c r="I375" s="8" t="str" cm="1">
        <f t="array" ref="I375">_xlfn.IFS(H375&lt;50000,"Under $50K", H375&lt;100000,"$50K–$100K",
     H375&lt;200000,"$100K–$200K", H375&lt;500000,"$200K–$500K",
     H375&gt;=500000,"$500K+")</f>
        <v>$200K–$500K</v>
      </c>
      <c r="J375" s="9" t="str">
        <f t="shared" si="25"/>
        <v>2020s</v>
      </c>
      <c r="K375">
        <f t="shared" si="26"/>
        <v>4.1857622975863124E-2</v>
      </c>
      <c r="L375">
        <f t="shared" si="27"/>
        <v>0.26385681293302543</v>
      </c>
      <c r="M375">
        <f t="shared" si="28"/>
        <v>0.78723404255319152</v>
      </c>
      <c r="N375">
        <f t="shared" si="29"/>
        <v>0.36431615948736001</v>
      </c>
    </row>
    <row r="376" spans="1:14">
      <c r="A376" t="s">
        <v>12</v>
      </c>
      <c r="B376" t="s">
        <v>69</v>
      </c>
      <c r="C376">
        <v>2021</v>
      </c>
      <c r="D376">
        <v>5.2</v>
      </c>
      <c r="E376">
        <v>630</v>
      </c>
      <c r="F376">
        <v>516</v>
      </c>
      <c r="G376">
        <v>3.5</v>
      </c>
      <c r="H376" s="4">
        <v>221400</v>
      </c>
      <c r="I376" s="8" t="str" cm="1">
        <f t="array" ref="I376">_xlfn.IFS(H376&lt;50000,"Under $50K", H376&lt;100000,"$50K–$100K",
     H376&lt;200000,"$100K–$200K", H376&lt;500000,"$200K–$500K",
     H376&gt;=500000,"$500K+")</f>
        <v>$200K–$500K</v>
      </c>
      <c r="J376" s="9" t="str">
        <f t="shared" si="25"/>
        <v>2020s</v>
      </c>
      <c r="K376">
        <f t="shared" si="26"/>
        <v>4.5727670842244626E-2</v>
      </c>
      <c r="L376">
        <f t="shared" si="27"/>
        <v>0.29792147806004621</v>
      </c>
      <c r="M376">
        <f t="shared" si="28"/>
        <v>0.63829787234042556</v>
      </c>
      <c r="N376">
        <f t="shared" si="29"/>
        <v>0.32731567374757214</v>
      </c>
    </row>
    <row r="377" spans="1:14">
      <c r="A377" t="s">
        <v>14</v>
      </c>
      <c r="B377" t="s">
        <v>80</v>
      </c>
      <c r="C377">
        <v>2021</v>
      </c>
      <c r="D377">
        <v>6</v>
      </c>
      <c r="E377">
        <v>626</v>
      </c>
      <c r="F377">
        <v>664</v>
      </c>
      <c r="G377">
        <v>3.6</v>
      </c>
      <c r="H377" s="4">
        <v>202500</v>
      </c>
      <c r="I377" s="8" t="str" cm="1">
        <f t="array" ref="I377">_xlfn.IFS(H377&lt;50000,"Under $50K", H377&lt;100000,"$50K–$100K",
     H377&lt;200000,"$100K–$200K", H377&lt;500000,"$200K–$500K",
     H377&gt;=500000,"$500K+")</f>
        <v>$200K–$500K</v>
      </c>
      <c r="J377" s="9" t="str">
        <f t="shared" si="25"/>
        <v>2020s</v>
      </c>
      <c r="K377">
        <f t="shared" si="26"/>
        <v>4.5320297382625524E-2</v>
      </c>
      <c r="L377">
        <f t="shared" si="27"/>
        <v>0.38337182448036949</v>
      </c>
      <c r="M377">
        <f t="shared" si="28"/>
        <v>0.61702127659574468</v>
      </c>
      <c r="N377">
        <f t="shared" si="29"/>
        <v>0.34857113281957991</v>
      </c>
    </row>
    <row r="378" spans="1:14">
      <c r="A378" t="s">
        <v>16</v>
      </c>
      <c r="B378" t="s">
        <v>70</v>
      </c>
      <c r="C378">
        <v>2022</v>
      </c>
      <c r="D378">
        <v>8</v>
      </c>
      <c r="E378">
        <v>1500</v>
      </c>
      <c r="F378">
        <v>1180</v>
      </c>
      <c r="G378">
        <v>2.4</v>
      </c>
      <c r="H378" s="4">
        <v>3000000</v>
      </c>
      <c r="I378" s="8" t="str" cm="1">
        <f t="array" ref="I378">_xlfn.IFS(H378&lt;50000,"Under $50K", H378&lt;100000,"$50K–$100K",
     H378&lt;200000,"$100K–$200K", H378&lt;500000,"$200K–$500K",
     H378&gt;=500000,"$500K+")</f>
        <v>$500K+</v>
      </c>
      <c r="J378" s="9" t="str">
        <f t="shared" si="25"/>
        <v>2020s</v>
      </c>
      <c r="K378">
        <f t="shared" si="26"/>
        <v>0.13433139830940014</v>
      </c>
      <c r="L378">
        <f t="shared" si="27"/>
        <v>0.68129330254041576</v>
      </c>
      <c r="M378">
        <f t="shared" si="28"/>
        <v>0.87234042553191493</v>
      </c>
      <c r="N378">
        <f t="shared" si="29"/>
        <v>0.5626550421272436</v>
      </c>
    </row>
    <row r="379" spans="1:14">
      <c r="A379" t="s">
        <v>18</v>
      </c>
      <c r="B379" t="s">
        <v>71</v>
      </c>
      <c r="C379">
        <v>2021</v>
      </c>
      <c r="D379">
        <v>6.2</v>
      </c>
      <c r="E379">
        <v>717</v>
      </c>
      <c r="F379">
        <v>656</v>
      </c>
      <c r="G379">
        <v>3.5</v>
      </c>
      <c r="H379" s="4">
        <v>64100</v>
      </c>
      <c r="I379" s="8" t="str" cm="1">
        <f t="array" ref="I379">_xlfn.IFS(H379&lt;50000,"Under $50K", H379&lt;100000,"$50K–$100K",
     H379&lt;200000,"$100K–$200K", H379&lt;500000,"$200K–$500K",
     H379&gt;=500000,"$500K+")</f>
        <v>$50K–$100K</v>
      </c>
      <c r="J379" s="9" t="str">
        <f t="shared" si="25"/>
        <v>2020s</v>
      </c>
      <c r="K379">
        <f t="shared" si="26"/>
        <v>5.4588043588960182E-2</v>
      </c>
      <c r="L379">
        <f t="shared" si="27"/>
        <v>0.3787528868360277</v>
      </c>
      <c r="M379">
        <f t="shared" si="28"/>
        <v>0.63829787234042556</v>
      </c>
      <c r="N379">
        <f t="shared" si="29"/>
        <v>0.35721293425513778</v>
      </c>
    </row>
    <row r="380" spans="1:14">
      <c r="A380" t="s">
        <v>21</v>
      </c>
      <c r="B380" t="s">
        <v>160</v>
      </c>
      <c r="C380">
        <v>2022</v>
      </c>
      <c r="D380">
        <v>5</v>
      </c>
      <c r="E380">
        <v>575</v>
      </c>
      <c r="F380">
        <v>516</v>
      </c>
      <c r="G380">
        <v>3.5</v>
      </c>
      <c r="H380" s="4">
        <v>103200</v>
      </c>
      <c r="I380" s="8" t="str" cm="1">
        <f t="array" ref="I380">_xlfn.IFS(H380&lt;50000,"Under $50K", H380&lt;100000,"$50K–$100K",
     H380&lt;200000,"$100K–$200K", H380&lt;500000,"$200K–$500K",
     H380&gt;=500000,"$500K+")</f>
        <v>$100K–$200K</v>
      </c>
      <c r="J380" s="9" t="str">
        <f t="shared" si="25"/>
        <v>2020s</v>
      </c>
      <c r="K380">
        <f t="shared" si="26"/>
        <v>4.0126285772481923E-2</v>
      </c>
      <c r="L380">
        <f t="shared" si="27"/>
        <v>0.29792147806004621</v>
      </c>
      <c r="M380">
        <f t="shared" si="28"/>
        <v>0.63829787234042556</v>
      </c>
      <c r="N380">
        <f t="shared" si="29"/>
        <v>0.32544854539098456</v>
      </c>
    </row>
    <row r="381" spans="1:14">
      <c r="A381" t="s">
        <v>23</v>
      </c>
      <c r="B381" t="s">
        <v>73</v>
      </c>
      <c r="C381">
        <v>2022</v>
      </c>
      <c r="D381">
        <v>5</v>
      </c>
      <c r="E381">
        <v>1280</v>
      </c>
      <c r="F381">
        <v>1015</v>
      </c>
      <c r="G381">
        <v>2.5</v>
      </c>
      <c r="H381" s="4">
        <v>2800000</v>
      </c>
      <c r="I381" s="8" t="str" cm="1">
        <f t="array" ref="I381">_xlfn.IFS(H381&lt;50000,"Under $50K", H381&lt;100000,"$50K–$100K",
     H381&lt;200000,"$100K–$200K", H381&lt;500000,"$200K–$500K",
     H381&gt;=500000,"$500K+")</f>
        <v>$500K+</v>
      </c>
      <c r="J381" s="9" t="str">
        <f t="shared" si="25"/>
        <v>2020s</v>
      </c>
      <c r="K381">
        <f t="shared" si="26"/>
        <v>0.11192585803034932</v>
      </c>
      <c r="L381">
        <f t="shared" si="27"/>
        <v>0.58602771362586603</v>
      </c>
      <c r="M381">
        <f t="shared" si="28"/>
        <v>0.85106382978723405</v>
      </c>
      <c r="N381">
        <f t="shared" si="29"/>
        <v>0.51633913381448304</v>
      </c>
    </row>
    <row r="382" spans="1:14">
      <c r="A382" t="s">
        <v>25</v>
      </c>
      <c r="B382" t="s">
        <v>74</v>
      </c>
      <c r="C382">
        <v>2021</v>
      </c>
      <c r="D382">
        <v>5</v>
      </c>
      <c r="E382">
        <v>471</v>
      </c>
      <c r="F382">
        <v>398</v>
      </c>
      <c r="G382">
        <v>4.4000000000000004</v>
      </c>
      <c r="H382" s="4">
        <v>92950</v>
      </c>
      <c r="I382" s="8" t="str" cm="1">
        <f t="array" ref="I382">_xlfn.IFS(H382&lt;50000,"Under $50K", H382&lt;100000,"$50K–$100K",
     H382&lt;200000,"$100K–$200K", H382&lt;500000,"$200K–$500K",
     H382&gt;=500000,"$500K+")</f>
        <v>$50K–$100K</v>
      </c>
      <c r="J382" s="9" t="str">
        <f t="shared" si="25"/>
        <v>2020s</v>
      </c>
      <c r="K382">
        <f t="shared" si="26"/>
        <v>2.9534575822385171E-2</v>
      </c>
      <c r="L382">
        <f t="shared" si="27"/>
        <v>0.22979214780600463</v>
      </c>
      <c r="M382">
        <f t="shared" si="28"/>
        <v>0.44680851063829774</v>
      </c>
      <c r="N382">
        <f t="shared" si="29"/>
        <v>0.23537841142222918</v>
      </c>
    </row>
    <row r="383" spans="1:14">
      <c r="A383" t="s">
        <v>26</v>
      </c>
      <c r="B383" t="s">
        <v>75</v>
      </c>
      <c r="C383">
        <v>2021</v>
      </c>
      <c r="D383">
        <v>3.5</v>
      </c>
      <c r="E383">
        <v>416</v>
      </c>
      <c r="F383">
        <v>317</v>
      </c>
      <c r="G383">
        <v>3.8</v>
      </c>
      <c r="H383" s="4">
        <v>100450</v>
      </c>
      <c r="I383" s="8" t="str" cm="1">
        <f t="array" ref="I383">_xlfn.IFS(H383&lt;50000,"Under $50K", H383&lt;100000,"$50K–$100K",
     H383&lt;200000,"$100K–$200K", H383&lt;500000,"$200K–$500K",
     H383&gt;=500000,"$500K+")</f>
        <v>$100K–$200K</v>
      </c>
      <c r="J383" s="9" t="str">
        <f t="shared" si="25"/>
        <v>2020s</v>
      </c>
      <c r="K383">
        <f t="shared" si="26"/>
        <v>2.3933190752622468E-2</v>
      </c>
      <c r="L383">
        <f t="shared" si="27"/>
        <v>0.18302540415704388</v>
      </c>
      <c r="M383">
        <f t="shared" si="28"/>
        <v>0.57446808510638303</v>
      </c>
      <c r="N383">
        <f t="shared" si="29"/>
        <v>0.26047556000534983</v>
      </c>
    </row>
    <row r="384" spans="1:14">
      <c r="A384" t="s">
        <v>27</v>
      </c>
      <c r="B384" t="s">
        <v>76</v>
      </c>
      <c r="C384">
        <v>2021</v>
      </c>
      <c r="D384">
        <v>4.7</v>
      </c>
      <c r="E384">
        <v>454</v>
      </c>
      <c r="F384">
        <v>384</v>
      </c>
      <c r="G384">
        <v>4.8</v>
      </c>
      <c r="H384" s="4">
        <v>150980</v>
      </c>
      <c r="I384" s="8" t="str" cm="1">
        <f t="array" ref="I384">_xlfn.IFS(H384&lt;50000,"Under $50K", H384&lt;100000,"$50K–$100K",
     H384&lt;200000,"$100K–$200K", H384&lt;500000,"$200K–$500K",
     H384&gt;=500000,"$500K+")</f>
        <v>$100K–$200K</v>
      </c>
      <c r="J384" s="9" t="str">
        <f t="shared" si="25"/>
        <v>2020s</v>
      </c>
      <c r="K384">
        <f t="shared" si="26"/>
        <v>2.7803238619003971E-2</v>
      </c>
      <c r="L384">
        <f t="shared" si="27"/>
        <v>0.22170900692840648</v>
      </c>
      <c r="M384">
        <f t="shared" si="28"/>
        <v>0.36170212765957455</v>
      </c>
      <c r="N384">
        <f t="shared" si="29"/>
        <v>0.20373812440232833</v>
      </c>
    </row>
    <row r="385" spans="1:14">
      <c r="A385" t="s">
        <v>29</v>
      </c>
      <c r="B385" t="s">
        <v>81</v>
      </c>
      <c r="C385">
        <v>2022</v>
      </c>
      <c r="D385">
        <v>3</v>
      </c>
      <c r="E385">
        <v>671</v>
      </c>
      <c r="F385">
        <v>531</v>
      </c>
      <c r="G385">
        <v>3</v>
      </c>
      <c r="H385" s="4">
        <v>225000</v>
      </c>
      <c r="I385" s="8" t="str" cm="1">
        <f t="array" ref="I385">_xlfn.IFS(H385&lt;50000,"Under $50K", H385&lt;100000,"$50K–$100K",
     H385&lt;200000,"$100K–$200K", H385&lt;500000,"$200K–$500K",
     H385&gt;=500000,"$500K+")</f>
        <v>$200K–$500K</v>
      </c>
      <c r="J385" s="9" t="str">
        <f t="shared" si="25"/>
        <v>2020s</v>
      </c>
      <c r="K385">
        <f t="shared" si="26"/>
        <v>4.9903248803340461E-2</v>
      </c>
      <c r="L385">
        <f t="shared" si="27"/>
        <v>0.30658198614318705</v>
      </c>
      <c r="M385">
        <f t="shared" si="28"/>
        <v>0.74468085106382986</v>
      </c>
      <c r="N385">
        <f t="shared" si="29"/>
        <v>0.36705536200345246</v>
      </c>
    </row>
    <row r="386" spans="1:14">
      <c r="A386" t="s">
        <v>30</v>
      </c>
      <c r="B386" t="s">
        <v>182</v>
      </c>
      <c r="C386">
        <v>2022</v>
      </c>
      <c r="D386">
        <v>4</v>
      </c>
      <c r="E386">
        <v>503</v>
      </c>
      <c r="F386">
        <v>516</v>
      </c>
      <c r="G386">
        <v>3.7</v>
      </c>
      <c r="H386" s="4">
        <v>81550</v>
      </c>
      <c r="I386" s="8" t="str" cm="1">
        <f t="array" ref="I386">_xlfn.IFS(H386&lt;50000,"Under $50K", H386&lt;100000,"$50K–$100K",
     H386&lt;200000,"$100K–$200K", H386&lt;500000,"$200K–$500K",
     H386&gt;=500000,"$500K+")</f>
        <v>$50K–$100K</v>
      </c>
      <c r="J386" s="9" t="str">
        <f t="shared" si="25"/>
        <v>2020s</v>
      </c>
      <c r="K386">
        <f t="shared" si="26"/>
        <v>3.279356349933802E-2</v>
      </c>
      <c r="L386">
        <f t="shared" si="27"/>
        <v>0.29792147806004621</v>
      </c>
      <c r="M386">
        <f t="shared" si="28"/>
        <v>0.5957446808510638</v>
      </c>
      <c r="N386">
        <f t="shared" si="29"/>
        <v>0.30881990747014937</v>
      </c>
    </row>
    <row r="387" spans="1:14">
      <c r="A387" t="s">
        <v>33</v>
      </c>
      <c r="B387" t="s">
        <v>83</v>
      </c>
      <c r="C387">
        <v>2021</v>
      </c>
      <c r="D387">
        <v>6</v>
      </c>
      <c r="E387">
        <v>764</v>
      </c>
      <c r="F387">
        <v>738</v>
      </c>
      <c r="G387">
        <v>2.8</v>
      </c>
      <c r="H387" s="4">
        <v>3500000</v>
      </c>
      <c r="I387" s="8" t="str" cm="1">
        <f t="array" ref="I387">_xlfn.IFS(H387&lt;50000,"Under $50K", H387&lt;100000,"$50K–$100K",
     H387&lt;200000,"$100K–$200K", H387&lt;500000,"$200K–$500K",
     H387&gt;=500000,"$500K+")</f>
        <v>$500K+</v>
      </c>
      <c r="J387" s="9" t="str">
        <f t="shared" ref="J387:J450" si="30">_xlfn.CONCAT(INT(C387/10)*10,"s")</f>
        <v>2020s</v>
      </c>
      <c r="K387">
        <f t="shared" ref="K387:K450" si="31">(E387-MIN($E$2:$E$1008))/(MAX($E$2:$E$1008)-MIN($E$2:$E$1008))</f>
        <v>5.9374681739484673E-2</v>
      </c>
      <c r="L387">
        <f t="shared" ref="L387:L450" si="32">(F387-MIN($F$2:$F$501))/(MAX($F$2:$F$501)-MIN($F$2:$F$501))</f>
        <v>0.42609699769053117</v>
      </c>
      <c r="M387">
        <f t="shared" ref="M387:M450" si="33">1-((G387-MIN($G$2:$G$501))/(MAX($G$2:$G$501)-MIN($G$2:$G$501)))</f>
        <v>0.78723404255319152</v>
      </c>
      <c r="N387">
        <f t="shared" ref="N387:N450" si="34">AVERAGE(K387,L387,M387)</f>
        <v>0.42423524066106916</v>
      </c>
    </row>
    <row r="388" spans="1:14">
      <c r="A388" t="s">
        <v>36</v>
      </c>
      <c r="B388" t="s">
        <v>86</v>
      </c>
      <c r="C388">
        <v>2021</v>
      </c>
      <c r="D388">
        <v>4</v>
      </c>
      <c r="E388">
        <v>414</v>
      </c>
      <c r="F388">
        <v>309</v>
      </c>
      <c r="G388">
        <v>4.2</v>
      </c>
      <c r="H388" s="4">
        <v>102550</v>
      </c>
      <c r="I388" s="8" t="str" cm="1">
        <f t="array" ref="I388">_xlfn.IFS(H388&lt;50000,"Under $50K", H388&lt;100000,"$50K–$100K",
     H388&lt;200000,"$100K–$200K", H388&lt;500000,"$200K–$500K",
     H388&gt;=500000,"$500K+")</f>
        <v>$100K–$200K</v>
      </c>
      <c r="J388" s="9" t="str">
        <f t="shared" si="30"/>
        <v>2020s</v>
      </c>
      <c r="K388">
        <f t="shared" si="31"/>
        <v>2.3729504022812913E-2</v>
      </c>
      <c r="L388">
        <f t="shared" si="32"/>
        <v>0.17840646651270209</v>
      </c>
      <c r="M388">
        <f t="shared" si="33"/>
        <v>0.4893617021276595</v>
      </c>
      <c r="N388">
        <f t="shared" si="34"/>
        <v>0.23049922422105817</v>
      </c>
    </row>
    <row r="389" spans="1:14">
      <c r="A389" t="s">
        <v>37</v>
      </c>
      <c r="B389" t="s">
        <v>140</v>
      </c>
      <c r="C389">
        <v>2022</v>
      </c>
      <c r="D389" t="s">
        <v>141</v>
      </c>
      <c r="E389">
        <v>1888</v>
      </c>
      <c r="F389">
        <v>1696</v>
      </c>
      <c r="G389">
        <v>1.8</v>
      </c>
      <c r="H389" s="4">
        <v>2400000</v>
      </c>
      <c r="I389" s="8" t="str" cm="1">
        <f t="array" ref="I389">_xlfn.IFS(H389&lt;50000,"Under $50K", H389&lt;100000,"$50K–$100K",
     H389&lt;200000,"$100K–$200K", H389&lt;500000,"$200K–$500K",
     H389&gt;=500000,"$500K+")</f>
        <v>$500K+</v>
      </c>
      <c r="J389" s="9" t="str">
        <f t="shared" si="30"/>
        <v>2020s</v>
      </c>
      <c r="K389">
        <f t="shared" si="31"/>
        <v>0.17384662389245339</v>
      </c>
      <c r="L389">
        <f t="shared" si="32"/>
        <v>0.97921478060046185</v>
      </c>
      <c r="M389">
        <f t="shared" si="33"/>
        <v>1</v>
      </c>
      <c r="N389">
        <f t="shared" si="34"/>
        <v>0.7176871348309718</v>
      </c>
    </row>
    <row r="390" spans="1:14">
      <c r="A390" t="s">
        <v>38</v>
      </c>
      <c r="B390" t="s">
        <v>126</v>
      </c>
      <c r="C390">
        <v>2021</v>
      </c>
      <c r="D390">
        <v>6.6</v>
      </c>
      <c r="E390">
        <v>624</v>
      </c>
      <c r="F390">
        <v>642</v>
      </c>
      <c r="G390">
        <v>4.4000000000000004</v>
      </c>
      <c r="H390" s="4">
        <v>330000</v>
      </c>
      <c r="I390" s="8" t="str" cm="1">
        <f t="array" ref="I390">_xlfn.IFS(H390&lt;50000,"Under $50K", H390&lt;100000,"$50K–$100K",
     H390&lt;200000,"$100K–$200K", H390&lt;500000,"$200K–$500K",
     H390&gt;=500000,"$500K+")</f>
        <v>$200K–$500K</v>
      </c>
      <c r="J390" s="9" t="str">
        <f t="shared" si="30"/>
        <v>2020s</v>
      </c>
      <c r="K390">
        <f t="shared" si="31"/>
        <v>4.5116610652815969E-2</v>
      </c>
      <c r="L390">
        <f t="shared" si="32"/>
        <v>0.37066974595842955</v>
      </c>
      <c r="M390">
        <f t="shared" si="33"/>
        <v>0.44680851063829774</v>
      </c>
      <c r="N390">
        <f t="shared" si="34"/>
        <v>0.28753162241651442</v>
      </c>
    </row>
    <row r="391" spans="1:14">
      <c r="A391" t="s">
        <v>41</v>
      </c>
      <c r="B391" t="s">
        <v>127</v>
      </c>
      <c r="C391">
        <v>2022</v>
      </c>
      <c r="D391" t="s">
        <v>141</v>
      </c>
      <c r="E391" t="s">
        <v>183</v>
      </c>
      <c r="F391">
        <v>0</v>
      </c>
      <c r="G391">
        <v>1.9</v>
      </c>
      <c r="H391" s="4">
        <v>200000</v>
      </c>
      <c r="I391" s="8" t="str" cm="1">
        <f t="array" ref="I391">_xlfn.IFS(H391&lt;50000,"Under $50K", H391&lt;100000,"$50K–$100K",
     H391&lt;200000,"$100K–$200K", H391&lt;500000,"$200K–$500K",
     H391&gt;=500000,"$500K+")</f>
        <v>$200K–$500K</v>
      </c>
      <c r="J391" s="9" t="str">
        <f t="shared" si="30"/>
        <v>2020s</v>
      </c>
      <c r="K391" t="e">
        <f t="shared" si="31"/>
        <v>#VALUE!</v>
      </c>
      <c r="L391">
        <f t="shared" si="32"/>
        <v>0</v>
      </c>
      <c r="M391">
        <f t="shared" si="33"/>
        <v>0.97872340425531923</v>
      </c>
      <c r="N391" t="e">
        <f t="shared" si="34"/>
        <v>#VALUE!</v>
      </c>
    </row>
    <row r="392" spans="1:14">
      <c r="A392" t="s">
        <v>42</v>
      </c>
      <c r="B392" t="s">
        <v>129</v>
      </c>
      <c r="C392">
        <v>2022</v>
      </c>
      <c r="D392">
        <v>3</v>
      </c>
      <c r="E392">
        <v>382</v>
      </c>
      <c r="F392">
        <v>368</v>
      </c>
      <c r="G392">
        <v>3.9</v>
      </c>
      <c r="H392" s="4">
        <v>43090</v>
      </c>
      <c r="I392" s="8" t="str" cm="1">
        <f t="array" ref="I392">_xlfn.IFS(H392&lt;50000,"Under $50K", H392&lt;100000,"$50K–$100K",
     H392&lt;200000,"$100K–$200K", H392&lt;500000,"$200K–$500K",
     H392&gt;=500000,"$500K+")</f>
        <v>Under $50K</v>
      </c>
      <c r="J392" s="9" t="str">
        <f t="shared" si="30"/>
        <v>2020s</v>
      </c>
      <c r="K392">
        <f t="shared" si="31"/>
        <v>2.0470516345860067E-2</v>
      </c>
      <c r="L392">
        <f t="shared" si="32"/>
        <v>0.21247113163972287</v>
      </c>
      <c r="M392">
        <f t="shared" si="33"/>
        <v>0.55319148936170226</v>
      </c>
      <c r="N392">
        <f t="shared" si="34"/>
        <v>0.26204437911576173</v>
      </c>
    </row>
    <row r="393" spans="1:14">
      <c r="A393" t="s">
        <v>8</v>
      </c>
      <c r="B393" t="s">
        <v>123</v>
      </c>
      <c r="C393">
        <v>2021</v>
      </c>
      <c r="D393">
        <v>3.5</v>
      </c>
      <c r="E393">
        <v>573</v>
      </c>
      <c r="F393">
        <v>476</v>
      </c>
      <c r="G393">
        <v>2.7</v>
      </c>
      <c r="H393" s="4">
        <v>157500</v>
      </c>
      <c r="I393" s="8" t="str" cm="1">
        <f t="array" ref="I393">_xlfn.IFS(H393&lt;50000,"Under $50K", H393&lt;100000,"$50K–$100K",
     H393&lt;200000,"$100K–$200K", H393&lt;500000,"$200K–$500K",
     H393&gt;=500000,"$500K+")</f>
        <v>$100K–$200K</v>
      </c>
      <c r="J393" s="9" t="str">
        <f t="shared" si="30"/>
        <v>2020s</v>
      </c>
      <c r="K393">
        <f t="shared" si="31"/>
        <v>3.9922599042672369E-2</v>
      </c>
      <c r="L393">
        <f t="shared" si="32"/>
        <v>0.27482678983833719</v>
      </c>
      <c r="M393">
        <f t="shared" si="33"/>
        <v>0.80851063829787229</v>
      </c>
      <c r="N393">
        <f t="shared" si="34"/>
        <v>0.3744200090596273</v>
      </c>
    </row>
    <row r="394" spans="1:14">
      <c r="A394" t="s">
        <v>12</v>
      </c>
      <c r="B394" t="s">
        <v>107</v>
      </c>
      <c r="C394">
        <v>2021</v>
      </c>
      <c r="D394">
        <v>4</v>
      </c>
      <c r="E394">
        <v>503</v>
      </c>
      <c r="F394">
        <v>505</v>
      </c>
      <c r="G394">
        <v>3.5</v>
      </c>
      <c r="H394" s="4">
        <v>146000</v>
      </c>
      <c r="I394" s="8" t="str" cm="1">
        <f t="array" ref="I394">_xlfn.IFS(H394&lt;50000,"Under $50K", H394&lt;100000,"$50K–$100K",
     H394&lt;200000,"$100K–$200K", H394&lt;500000,"$200K–$500K",
     H394&gt;=500000,"$500K+")</f>
        <v>$100K–$200K</v>
      </c>
      <c r="J394" s="9" t="str">
        <f t="shared" si="30"/>
        <v>2020s</v>
      </c>
      <c r="K394">
        <f t="shared" si="31"/>
        <v>3.279356349933802E-2</v>
      </c>
      <c r="L394">
        <f t="shared" si="32"/>
        <v>0.29157043879907624</v>
      </c>
      <c r="M394">
        <f t="shared" si="33"/>
        <v>0.63829787234042556</v>
      </c>
      <c r="N394">
        <f t="shared" si="34"/>
        <v>0.32088729154627993</v>
      </c>
    </row>
    <row r="395" spans="1:14">
      <c r="A395" t="s">
        <v>14</v>
      </c>
      <c r="B395" t="s">
        <v>80</v>
      </c>
      <c r="C395">
        <v>2022</v>
      </c>
      <c r="D395">
        <v>4</v>
      </c>
      <c r="E395">
        <v>542</v>
      </c>
      <c r="F395">
        <v>568</v>
      </c>
      <c r="G395">
        <v>3.9</v>
      </c>
      <c r="H395" s="4">
        <v>207825</v>
      </c>
      <c r="I395" s="8" t="str" cm="1">
        <f t="array" ref="I395">_xlfn.IFS(H395&lt;50000,"Under $50K", H395&lt;100000,"$50K–$100K",
     H395&lt;200000,"$100K–$200K", H395&lt;500000,"$200K–$500K",
     H395&gt;=500000,"$500K+")</f>
        <v>$200K–$500K</v>
      </c>
      <c r="J395" s="9" t="str">
        <f t="shared" si="30"/>
        <v>2020s</v>
      </c>
      <c r="K395">
        <f t="shared" si="31"/>
        <v>3.67654547306243E-2</v>
      </c>
      <c r="L395">
        <f t="shared" si="32"/>
        <v>0.32794457274826788</v>
      </c>
      <c r="M395">
        <f t="shared" si="33"/>
        <v>0.55319148936170226</v>
      </c>
      <c r="N395">
        <f t="shared" si="34"/>
        <v>0.30596717228019815</v>
      </c>
    </row>
    <row r="396" spans="1:14">
      <c r="A396" t="s">
        <v>18</v>
      </c>
      <c r="B396" t="s">
        <v>71</v>
      </c>
      <c r="C396">
        <v>2021</v>
      </c>
      <c r="D396">
        <v>6.2</v>
      </c>
      <c r="E396">
        <v>717</v>
      </c>
      <c r="F396">
        <v>656</v>
      </c>
      <c r="G396">
        <v>3.5</v>
      </c>
      <c r="H396" s="4">
        <v>64195</v>
      </c>
      <c r="I396" s="8" t="str" cm="1">
        <f t="array" ref="I396">_xlfn.IFS(H396&lt;50000,"Under $50K", H396&lt;100000,"$50K–$100K",
     H396&lt;200000,"$100K–$200K", H396&lt;500000,"$200K–$500K",
     H396&gt;=500000,"$500K+")</f>
        <v>$50K–$100K</v>
      </c>
      <c r="J396" s="9" t="str">
        <f t="shared" si="30"/>
        <v>2020s</v>
      </c>
      <c r="K396">
        <f t="shared" si="31"/>
        <v>5.4588043588960182E-2</v>
      </c>
      <c r="L396">
        <f t="shared" si="32"/>
        <v>0.3787528868360277</v>
      </c>
      <c r="M396">
        <f t="shared" si="33"/>
        <v>0.63829787234042556</v>
      </c>
      <c r="N396">
        <f t="shared" si="34"/>
        <v>0.35721293425513778</v>
      </c>
    </row>
    <row r="397" spans="1:14">
      <c r="A397" t="s">
        <v>21</v>
      </c>
      <c r="B397" t="s">
        <v>72</v>
      </c>
      <c r="C397">
        <v>2022</v>
      </c>
      <c r="D397">
        <v>3</v>
      </c>
      <c r="E397">
        <v>380</v>
      </c>
      <c r="F397">
        <v>339</v>
      </c>
      <c r="G397">
        <v>4.8</v>
      </c>
      <c r="H397" s="4">
        <v>62250</v>
      </c>
      <c r="I397" s="8" t="str" cm="1">
        <f t="array" ref="I397">_xlfn.IFS(H397&lt;50000,"Under $50K", H397&lt;100000,"$50K–$100K",
     H397&lt;200000,"$100K–$200K", H397&lt;500000,"$200K–$500K",
     H397&gt;=500000,"$500K+")</f>
        <v>$50K–$100K</v>
      </c>
      <c r="J397" s="9" t="str">
        <f t="shared" si="30"/>
        <v>2020s</v>
      </c>
      <c r="K397">
        <f t="shared" si="31"/>
        <v>2.0266829616050513E-2</v>
      </c>
      <c r="L397">
        <f t="shared" si="32"/>
        <v>0.19572748267898382</v>
      </c>
      <c r="M397">
        <f t="shared" si="33"/>
        <v>0.36170212765957455</v>
      </c>
      <c r="N397">
        <f t="shared" si="34"/>
        <v>0.19256547998486961</v>
      </c>
    </row>
    <row r="398" spans="1:14">
      <c r="A398" t="s">
        <v>25</v>
      </c>
      <c r="B398" t="s">
        <v>74</v>
      </c>
      <c r="C398">
        <v>2022</v>
      </c>
      <c r="D398">
        <v>5</v>
      </c>
      <c r="E398">
        <v>471</v>
      </c>
      <c r="F398">
        <v>398</v>
      </c>
      <c r="G398">
        <v>4.4000000000000004</v>
      </c>
      <c r="H398" s="4">
        <v>92000</v>
      </c>
      <c r="I398" s="8" t="str" cm="1">
        <f t="array" ref="I398">_xlfn.IFS(H398&lt;50000,"Under $50K", H398&lt;100000,"$50K–$100K",
     H398&lt;200000,"$100K–$200K", H398&lt;500000,"$200K–$500K",
     H398&gt;=500000,"$500K+")</f>
        <v>$50K–$100K</v>
      </c>
      <c r="J398" s="9" t="str">
        <f t="shared" si="30"/>
        <v>2020s</v>
      </c>
      <c r="K398">
        <f t="shared" si="31"/>
        <v>2.9534575822385171E-2</v>
      </c>
      <c r="L398">
        <f t="shared" si="32"/>
        <v>0.22979214780600463</v>
      </c>
      <c r="M398">
        <f t="shared" si="33"/>
        <v>0.44680851063829774</v>
      </c>
      <c r="N398">
        <f t="shared" si="34"/>
        <v>0.23537841142222918</v>
      </c>
    </row>
    <row r="399" spans="1:14">
      <c r="A399" t="s">
        <v>26</v>
      </c>
      <c r="B399" t="s">
        <v>75</v>
      </c>
      <c r="C399">
        <v>2021</v>
      </c>
      <c r="D399">
        <v>3.5</v>
      </c>
      <c r="E399">
        <v>416</v>
      </c>
      <c r="F399">
        <v>317</v>
      </c>
      <c r="G399">
        <v>3.8</v>
      </c>
      <c r="H399" s="4">
        <v>105000</v>
      </c>
      <c r="I399" s="8" t="str" cm="1">
        <f t="array" ref="I399">_xlfn.IFS(H399&lt;50000,"Under $50K", H399&lt;100000,"$50K–$100K",
     H399&lt;200000,"$100K–$200K", H399&lt;500000,"$200K–$500K",
     H399&gt;=500000,"$500K+")</f>
        <v>$100K–$200K</v>
      </c>
      <c r="J399" s="9" t="str">
        <f t="shared" si="30"/>
        <v>2020s</v>
      </c>
      <c r="K399">
        <f t="shared" si="31"/>
        <v>2.3933190752622468E-2</v>
      </c>
      <c r="L399">
        <f t="shared" si="32"/>
        <v>0.18302540415704388</v>
      </c>
      <c r="M399">
        <f t="shared" si="33"/>
        <v>0.57446808510638303</v>
      </c>
      <c r="N399">
        <f t="shared" si="34"/>
        <v>0.26047556000534983</v>
      </c>
    </row>
    <row r="400" spans="1:14">
      <c r="A400" t="s">
        <v>27</v>
      </c>
      <c r="B400" t="s">
        <v>76</v>
      </c>
      <c r="C400">
        <v>2022</v>
      </c>
      <c r="D400">
        <v>4.7</v>
      </c>
      <c r="E400">
        <v>454</v>
      </c>
      <c r="F400">
        <v>384</v>
      </c>
      <c r="G400">
        <v>4.7</v>
      </c>
      <c r="H400" s="4">
        <v>134300</v>
      </c>
      <c r="I400" s="8" t="str" cm="1">
        <f t="array" ref="I400">_xlfn.IFS(H400&lt;50000,"Under $50K", H400&lt;100000,"$50K–$100K",
     H400&lt;200000,"$100K–$200K", H400&lt;500000,"$200K–$500K",
     H400&gt;=500000,"$500K+")</f>
        <v>$100K–$200K</v>
      </c>
      <c r="J400" s="9" t="str">
        <f t="shared" si="30"/>
        <v>2020s</v>
      </c>
      <c r="K400">
        <f t="shared" si="31"/>
        <v>2.7803238619003971E-2</v>
      </c>
      <c r="L400">
        <f t="shared" si="32"/>
        <v>0.22170900692840648</v>
      </c>
      <c r="M400">
        <f t="shared" si="33"/>
        <v>0.38297872340425532</v>
      </c>
      <c r="N400">
        <f t="shared" si="34"/>
        <v>0.2108303229838886</v>
      </c>
    </row>
    <row r="401" spans="1:14">
      <c r="A401" t="s">
        <v>29</v>
      </c>
      <c r="B401" t="s">
        <v>103</v>
      </c>
      <c r="C401">
        <v>2022</v>
      </c>
      <c r="D401">
        <v>3.8</v>
      </c>
      <c r="E401">
        <v>562</v>
      </c>
      <c r="F401">
        <v>443</v>
      </c>
      <c r="G401">
        <v>2.9</v>
      </c>
      <c r="H401" s="4">
        <v>204550</v>
      </c>
      <c r="I401" s="8" t="str" cm="1">
        <f t="array" ref="I401">_xlfn.IFS(H401&lt;50000,"Under $50K", H401&lt;100000,"$50K–$100K",
     H401&lt;200000,"$100K–$200K", H401&lt;500000,"$200K–$500K",
     H401&gt;=500000,"$500K+")</f>
        <v>$200K–$500K</v>
      </c>
      <c r="J401" s="9" t="str">
        <f t="shared" si="30"/>
        <v>2020s</v>
      </c>
      <c r="K401">
        <f t="shared" si="31"/>
        <v>3.8802322028719832E-2</v>
      </c>
      <c r="L401">
        <f t="shared" si="32"/>
        <v>0.25577367205542723</v>
      </c>
      <c r="M401">
        <f t="shared" si="33"/>
        <v>0.76595744680851063</v>
      </c>
      <c r="N401">
        <f t="shared" si="34"/>
        <v>0.3535111469642192</v>
      </c>
    </row>
    <row r="402" spans="1:14">
      <c r="A402" t="s">
        <v>36</v>
      </c>
      <c r="B402" t="s">
        <v>86</v>
      </c>
      <c r="C402">
        <v>2021</v>
      </c>
      <c r="D402">
        <v>4</v>
      </c>
      <c r="E402">
        <v>414</v>
      </c>
      <c r="F402">
        <v>309</v>
      </c>
      <c r="G402">
        <v>4.2</v>
      </c>
      <c r="H402" s="4">
        <v>102000</v>
      </c>
      <c r="I402" s="8" t="str" cm="1">
        <f t="array" ref="I402">_xlfn.IFS(H402&lt;50000,"Under $50K", H402&lt;100000,"$50K–$100K",
     H402&lt;200000,"$100K–$200K", H402&lt;500000,"$200K–$500K",
     H402&gt;=500000,"$500K+")</f>
        <v>$100K–$200K</v>
      </c>
      <c r="J402" s="9" t="str">
        <f t="shared" si="30"/>
        <v>2020s</v>
      </c>
      <c r="K402">
        <f t="shared" si="31"/>
        <v>2.3729504022812913E-2</v>
      </c>
      <c r="L402">
        <f t="shared" si="32"/>
        <v>0.17840646651270209</v>
      </c>
      <c r="M402">
        <f t="shared" si="33"/>
        <v>0.4893617021276595</v>
      </c>
      <c r="N402">
        <f t="shared" si="34"/>
        <v>0.23049922422105817</v>
      </c>
    </row>
    <row r="403" spans="1:14">
      <c r="A403" t="s">
        <v>41</v>
      </c>
      <c r="B403" t="s">
        <v>143</v>
      </c>
      <c r="C403">
        <v>2021</v>
      </c>
      <c r="D403" t="s">
        <v>184</v>
      </c>
      <c r="E403">
        <v>1020</v>
      </c>
      <c r="F403">
        <v>1050</v>
      </c>
      <c r="G403">
        <v>1.9</v>
      </c>
      <c r="H403" s="4">
        <v>141190</v>
      </c>
      <c r="I403" s="8" t="str" cm="1">
        <f t="array" ref="I403">_xlfn.IFS(H403&lt;50000,"Under $50K", H403&lt;100000,"$50K–$100K",
     H403&lt;200000,"$100K–$200K", H403&lt;500000,"$200K–$500K",
     H403&gt;=500000,"$500K+")</f>
        <v>$100K–$200K</v>
      </c>
      <c r="J403" s="9" t="str">
        <f t="shared" si="30"/>
        <v>2020s</v>
      </c>
      <c r="K403">
        <f t="shared" si="31"/>
        <v>8.5446583155107447E-2</v>
      </c>
      <c r="L403">
        <f t="shared" si="32"/>
        <v>0.60623556581986138</v>
      </c>
      <c r="M403">
        <f t="shared" si="33"/>
        <v>0.97872340425531923</v>
      </c>
      <c r="N403">
        <f t="shared" si="34"/>
        <v>0.55680185107676261</v>
      </c>
    </row>
    <row r="404" spans="1:14">
      <c r="A404" t="s">
        <v>13</v>
      </c>
      <c r="B404" t="s">
        <v>185</v>
      </c>
      <c r="C404">
        <v>2021</v>
      </c>
      <c r="D404">
        <v>2.9</v>
      </c>
      <c r="E404">
        <v>444</v>
      </c>
      <c r="F404">
        <v>443</v>
      </c>
      <c r="G404">
        <v>3.5</v>
      </c>
      <c r="H404" s="4">
        <v>75100</v>
      </c>
      <c r="I404" s="8" t="str" cm="1">
        <f t="array" ref="I404">_xlfn.IFS(H404&lt;50000,"Under $50K", H404&lt;100000,"$50K–$100K",
     H404&lt;200000,"$100K–$200K", H404&lt;500000,"$200K–$500K",
     H404&gt;=500000,"$500K+")</f>
        <v>$50K–$100K</v>
      </c>
      <c r="J404" s="9" t="str">
        <f t="shared" si="30"/>
        <v>2020s</v>
      </c>
      <c r="K404">
        <f t="shared" si="31"/>
        <v>2.6784804969956208E-2</v>
      </c>
      <c r="L404">
        <f t="shared" si="32"/>
        <v>0.25577367205542723</v>
      </c>
      <c r="M404">
        <f t="shared" si="33"/>
        <v>0.63829787234042556</v>
      </c>
      <c r="N404">
        <f t="shared" si="34"/>
        <v>0.30695211645526971</v>
      </c>
    </row>
    <row r="405" spans="1:14">
      <c r="A405" t="s">
        <v>15</v>
      </c>
      <c r="B405" t="s">
        <v>154</v>
      </c>
      <c r="C405">
        <v>2022</v>
      </c>
      <c r="D405">
        <v>3</v>
      </c>
      <c r="E405">
        <v>405</v>
      </c>
      <c r="F405">
        <v>406</v>
      </c>
      <c r="G405">
        <v>4</v>
      </c>
      <c r="H405" s="4">
        <v>59895</v>
      </c>
      <c r="I405" s="8" t="str" cm="1">
        <f t="array" ref="I405">_xlfn.IFS(H405&lt;50000,"Under $50K", H405&lt;100000,"$50K–$100K",
     H405&lt;200000,"$100K–$200K", H405&lt;500000,"$200K–$500K",
     H405&gt;=500000,"$500K+")</f>
        <v>$50K–$100K</v>
      </c>
      <c r="J405" s="9" t="str">
        <f t="shared" si="30"/>
        <v>2020s</v>
      </c>
      <c r="K405">
        <f t="shared" si="31"/>
        <v>2.2812913738669924E-2</v>
      </c>
      <c r="L405">
        <f t="shared" si="32"/>
        <v>0.23441108545034642</v>
      </c>
      <c r="M405">
        <f t="shared" si="33"/>
        <v>0.53191489361702127</v>
      </c>
      <c r="N405">
        <f t="shared" si="34"/>
        <v>0.26304629760201254</v>
      </c>
    </row>
    <row r="406" spans="1:14">
      <c r="A406" t="s">
        <v>17</v>
      </c>
      <c r="B406" t="s">
        <v>91</v>
      </c>
      <c r="C406">
        <v>2021</v>
      </c>
      <c r="D406">
        <v>6.2</v>
      </c>
      <c r="E406">
        <v>650</v>
      </c>
      <c r="F406">
        <v>650</v>
      </c>
      <c r="G406">
        <v>3.5</v>
      </c>
      <c r="H406" s="4">
        <v>64995</v>
      </c>
      <c r="I406" s="8" t="str" cm="1">
        <f t="array" ref="I406">_xlfn.IFS(H406&lt;50000,"Under $50K", H406&lt;100000,"$50K–$100K",
     H406&lt;200000,"$100K–$200K", H406&lt;500000,"$200K–$500K",
     H406&gt;=500000,"$500K+")</f>
        <v>$50K–$100K</v>
      </c>
      <c r="J406" s="9" t="str">
        <f t="shared" si="30"/>
        <v>2020s</v>
      </c>
      <c r="K406">
        <f t="shared" si="31"/>
        <v>4.7764538140340158E-2</v>
      </c>
      <c r="L406">
        <f t="shared" si="32"/>
        <v>0.37528868360277134</v>
      </c>
      <c r="M406">
        <f t="shared" si="33"/>
        <v>0.63829787234042556</v>
      </c>
      <c r="N406">
        <f t="shared" si="34"/>
        <v>0.35378369802784571</v>
      </c>
    </row>
    <row r="407" spans="1:14">
      <c r="A407" t="s">
        <v>18</v>
      </c>
      <c r="B407" t="s">
        <v>186</v>
      </c>
      <c r="C407">
        <v>2017</v>
      </c>
      <c r="D407">
        <v>8.4</v>
      </c>
      <c r="E407">
        <v>645</v>
      </c>
      <c r="F407">
        <v>600</v>
      </c>
      <c r="G407">
        <v>3.3</v>
      </c>
      <c r="H407" s="4">
        <v>126190</v>
      </c>
      <c r="I407" s="8" t="str" cm="1">
        <f t="array" ref="I407">_xlfn.IFS(H407&lt;50000,"Under $50K", H407&lt;100000,"$50K–$100K",
     H407&lt;200000,"$100K–$200K", H407&lt;500000,"$200K–$500K",
     H407&gt;=500000,"$500K+")</f>
        <v>$100K–$200K</v>
      </c>
      <c r="J407" s="9" t="str">
        <f t="shared" si="30"/>
        <v>2010s</v>
      </c>
      <c r="K407">
        <f t="shared" si="31"/>
        <v>4.7255321315816272E-2</v>
      </c>
      <c r="L407">
        <f t="shared" si="32"/>
        <v>0.3464203233256351</v>
      </c>
      <c r="M407">
        <f t="shared" si="33"/>
        <v>0.68085106382978733</v>
      </c>
      <c r="N407">
        <f t="shared" si="34"/>
        <v>0.3581755694904129</v>
      </c>
    </row>
    <row r="408" spans="1:14">
      <c r="A408" t="s">
        <v>20</v>
      </c>
      <c r="B408" t="s">
        <v>92</v>
      </c>
      <c r="C408">
        <v>2021</v>
      </c>
      <c r="D408">
        <v>3.5</v>
      </c>
      <c r="E408">
        <v>660</v>
      </c>
      <c r="F408">
        <v>550</v>
      </c>
      <c r="G408">
        <v>2.9</v>
      </c>
      <c r="H408" s="4">
        <v>500000</v>
      </c>
      <c r="I408" s="8" t="str" cm="1">
        <f t="array" ref="I408">_xlfn.IFS(H408&lt;50000,"Under $50K", H408&lt;100000,"$50K–$100K",
     H408&lt;200000,"$100K–$200K", H408&lt;500000,"$200K–$500K",
     H408&gt;=500000,"$500K+")</f>
        <v>$500K+</v>
      </c>
      <c r="J408" s="9" t="str">
        <f t="shared" si="30"/>
        <v>2020s</v>
      </c>
      <c r="K408">
        <f t="shared" si="31"/>
        <v>4.8782971789387924E-2</v>
      </c>
      <c r="L408">
        <f t="shared" si="32"/>
        <v>0.31755196304849886</v>
      </c>
      <c r="M408">
        <f t="shared" si="33"/>
        <v>0.76595744680851063</v>
      </c>
      <c r="N408">
        <f t="shared" si="34"/>
        <v>0.37743079388213246</v>
      </c>
    </row>
    <row r="409" spans="1:14">
      <c r="A409" t="s">
        <v>36</v>
      </c>
      <c r="B409" t="s">
        <v>94</v>
      </c>
      <c r="C409">
        <v>2022</v>
      </c>
      <c r="D409">
        <v>2.5</v>
      </c>
      <c r="E409">
        <v>482</v>
      </c>
      <c r="F409">
        <v>472</v>
      </c>
      <c r="G409">
        <v>3.8</v>
      </c>
      <c r="H409" s="4">
        <v>102900</v>
      </c>
      <c r="I409" s="8" t="str" cm="1">
        <f t="array" ref="I409">_xlfn.IFS(H409&lt;50000,"Under $50K", H409&lt;100000,"$50K–$100K",
     H409&lt;200000,"$100K–$200K", H409&lt;500000,"$200K–$500K",
     H409&gt;=500000,"$500K+")</f>
        <v>$100K–$200K</v>
      </c>
      <c r="J409" s="9" t="str">
        <f t="shared" si="30"/>
        <v>2020s</v>
      </c>
      <c r="K409">
        <f t="shared" si="31"/>
        <v>3.0654852836337714E-2</v>
      </c>
      <c r="L409">
        <f t="shared" si="32"/>
        <v>0.27251732101616627</v>
      </c>
      <c r="M409">
        <f t="shared" si="33"/>
        <v>0.57446808510638303</v>
      </c>
      <c r="N409">
        <f t="shared" si="34"/>
        <v>0.29254675298629568</v>
      </c>
    </row>
    <row r="410" spans="1:14">
      <c r="A410" t="s">
        <v>24</v>
      </c>
      <c r="B410" t="s">
        <v>153</v>
      </c>
      <c r="C410">
        <v>2021</v>
      </c>
      <c r="D410">
        <v>6.5</v>
      </c>
      <c r="E410">
        <v>730</v>
      </c>
      <c r="F410">
        <v>509</v>
      </c>
      <c r="G410">
        <v>2.9</v>
      </c>
      <c r="H410" s="4">
        <v>417650</v>
      </c>
      <c r="I410" s="8" t="str" cm="1">
        <f t="array" ref="I410">_xlfn.IFS(H410&lt;50000,"Under $50K", H410&lt;100000,"$50K–$100K",
     H410&lt;200000,"$100K–$200K", H410&lt;500000,"$200K–$500K",
     H410&gt;=500000,"$500K+")</f>
        <v>$200K–$500K</v>
      </c>
      <c r="J410" s="9" t="str">
        <f t="shared" si="30"/>
        <v>2020s</v>
      </c>
      <c r="K410">
        <f t="shared" si="31"/>
        <v>5.5912007332722273E-2</v>
      </c>
      <c r="L410">
        <f t="shared" si="32"/>
        <v>0.29387990762124711</v>
      </c>
      <c r="M410">
        <f t="shared" si="33"/>
        <v>0.76595744680851063</v>
      </c>
      <c r="N410">
        <f t="shared" si="34"/>
        <v>0.37191645392082667</v>
      </c>
    </row>
    <row r="411" spans="1:14">
      <c r="A411" t="s">
        <v>12</v>
      </c>
      <c r="B411" t="s">
        <v>69</v>
      </c>
      <c r="C411">
        <v>2021</v>
      </c>
      <c r="D411">
        <v>5.2</v>
      </c>
      <c r="E411">
        <v>630</v>
      </c>
      <c r="F411">
        <v>516</v>
      </c>
      <c r="G411">
        <v>3.5</v>
      </c>
      <c r="H411" s="4">
        <v>205000</v>
      </c>
      <c r="I411" s="8" t="str" cm="1">
        <f t="array" ref="I411">_xlfn.IFS(H411&lt;50000,"Under $50K", H411&lt;100000,"$50K–$100K",
     H411&lt;200000,"$100K–$200K", H411&lt;500000,"$200K–$500K",
     H411&gt;=500000,"$500K+")</f>
        <v>$200K–$500K</v>
      </c>
      <c r="J411" s="9" t="str">
        <f t="shared" si="30"/>
        <v>2020s</v>
      </c>
      <c r="K411">
        <f t="shared" si="31"/>
        <v>4.5727670842244626E-2</v>
      </c>
      <c r="L411">
        <f t="shared" si="32"/>
        <v>0.29792147806004621</v>
      </c>
      <c r="M411">
        <f t="shared" si="33"/>
        <v>0.63829787234042556</v>
      </c>
      <c r="N411">
        <f t="shared" si="34"/>
        <v>0.32731567374757214</v>
      </c>
    </row>
    <row r="412" spans="1:14">
      <c r="A412" t="s">
        <v>9</v>
      </c>
      <c r="B412" t="s">
        <v>78</v>
      </c>
      <c r="C412">
        <v>2022</v>
      </c>
      <c r="D412">
        <v>2.9</v>
      </c>
      <c r="E412">
        <v>505</v>
      </c>
      <c r="F412">
        <v>443</v>
      </c>
      <c r="G412">
        <v>3.8</v>
      </c>
      <c r="H412" s="4">
        <v>81250</v>
      </c>
      <c r="I412" s="8" t="str" cm="1">
        <f t="array" ref="I412">_xlfn.IFS(H412&lt;50000,"Under $50K", H412&lt;100000,"$50K–$100K",
     H412&lt;200000,"$100K–$200K", H412&lt;500000,"$200K–$500K",
     H412&gt;=500000,"$500K+")</f>
        <v>$50K–$100K</v>
      </c>
      <c r="J412" s="9" t="str">
        <f t="shared" si="30"/>
        <v>2020s</v>
      </c>
      <c r="K412">
        <f t="shared" si="31"/>
        <v>3.2997250229147568E-2</v>
      </c>
      <c r="L412">
        <f t="shared" si="32"/>
        <v>0.25577367205542723</v>
      </c>
      <c r="M412">
        <f t="shared" si="33"/>
        <v>0.57446808510638303</v>
      </c>
      <c r="N412">
        <f t="shared" si="34"/>
        <v>0.28774633579698594</v>
      </c>
    </row>
    <row r="413" spans="1:14">
      <c r="A413" t="s">
        <v>13</v>
      </c>
      <c r="B413" t="s">
        <v>187</v>
      </c>
      <c r="C413">
        <v>2022</v>
      </c>
      <c r="D413">
        <v>4</v>
      </c>
      <c r="E413">
        <v>591</v>
      </c>
      <c r="F413">
        <v>590</v>
      </c>
      <c r="G413">
        <v>3.5</v>
      </c>
      <c r="H413" s="4">
        <v>115045</v>
      </c>
      <c r="I413" s="8" t="str" cm="1">
        <f t="array" ref="I413">_xlfn.IFS(H413&lt;50000,"Under $50K", H413&lt;100000,"$50K–$100K",
     H413&lt;200000,"$100K–$200K", H413&lt;500000,"$200K–$500K",
     H413&gt;=500000,"$500K+")</f>
        <v>$100K–$200K</v>
      </c>
      <c r="J413" s="9" t="str">
        <f t="shared" si="30"/>
        <v>2020s</v>
      </c>
      <c r="K413">
        <f t="shared" si="31"/>
        <v>4.1755779610958346E-2</v>
      </c>
      <c r="L413">
        <f t="shared" si="32"/>
        <v>0.34064665127020788</v>
      </c>
      <c r="M413">
        <f t="shared" si="33"/>
        <v>0.63829787234042556</v>
      </c>
      <c r="N413">
        <f t="shared" si="34"/>
        <v>0.34023343440719728</v>
      </c>
    </row>
    <row r="414" spans="1:14">
      <c r="A414" t="s">
        <v>15</v>
      </c>
      <c r="B414" t="s">
        <v>188</v>
      </c>
      <c r="C414">
        <v>2021</v>
      </c>
      <c r="D414">
        <v>3</v>
      </c>
      <c r="E414">
        <v>503</v>
      </c>
      <c r="F414">
        <v>479</v>
      </c>
      <c r="G414">
        <v>3.9</v>
      </c>
      <c r="H414" s="4">
        <v>75695</v>
      </c>
      <c r="I414" s="8" t="str" cm="1">
        <f t="array" ref="I414">_xlfn.IFS(H414&lt;50000,"Under $50K", H414&lt;100000,"$50K–$100K",
     H414&lt;200000,"$100K–$200K", H414&lt;500000,"$200K–$500K",
     H414&gt;=500000,"$500K+")</f>
        <v>$50K–$100K</v>
      </c>
      <c r="J414" s="9" t="str">
        <f t="shared" si="30"/>
        <v>2020s</v>
      </c>
      <c r="K414">
        <f t="shared" si="31"/>
        <v>3.279356349933802E-2</v>
      </c>
      <c r="L414">
        <f t="shared" si="32"/>
        <v>0.27655889145496537</v>
      </c>
      <c r="M414">
        <f t="shared" si="33"/>
        <v>0.55319148936170226</v>
      </c>
      <c r="N414">
        <f t="shared" si="34"/>
        <v>0.28751464810533522</v>
      </c>
    </row>
    <row r="415" spans="1:14">
      <c r="A415" t="s">
        <v>17</v>
      </c>
      <c r="B415" t="s">
        <v>105</v>
      </c>
      <c r="C415">
        <v>2022</v>
      </c>
      <c r="D415">
        <v>6.2</v>
      </c>
      <c r="E415">
        <v>455</v>
      </c>
      <c r="F415">
        <v>455</v>
      </c>
      <c r="G415">
        <v>4.0999999999999996</v>
      </c>
      <c r="H415" s="4">
        <v>42000</v>
      </c>
      <c r="I415" s="8" t="str" cm="1">
        <f t="array" ref="I415">_xlfn.IFS(H415&lt;50000,"Under $50K", H415&lt;100000,"$50K–$100K",
     H415&lt;200000,"$100K–$200K", H415&lt;500000,"$200K–$500K",
     H415&gt;=500000,"$500K+")</f>
        <v>Under $50K</v>
      </c>
      <c r="J415" s="9" t="str">
        <f t="shared" si="30"/>
        <v>2020s</v>
      </c>
      <c r="K415">
        <f t="shared" si="31"/>
        <v>2.7905081983908748E-2</v>
      </c>
      <c r="L415">
        <f t="shared" si="32"/>
        <v>0.26270207852193994</v>
      </c>
      <c r="M415">
        <f t="shared" si="33"/>
        <v>0.5106382978723405</v>
      </c>
      <c r="N415">
        <f t="shared" si="34"/>
        <v>0.26708181945939641</v>
      </c>
    </row>
    <row r="416" spans="1:14">
      <c r="A416" t="s">
        <v>18</v>
      </c>
      <c r="B416" t="s">
        <v>189</v>
      </c>
      <c r="C416">
        <v>2021</v>
      </c>
      <c r="D416">
        <v>6.2</v>
      </c>
      <c r="E416">
        <v>717</v>
      </c>
      <c r="F416">
        <v>650</v>
      </c>
      <c r="G416">
        <v>3.6</v>
      </c>
      <c r="H416" s="4">
        <v>71490</v>
      </c>
      <c r="I416" s="8" t="str" cm="1">
        <f t="array" ref="I416">_xlfn.IFS(H416&lt;50000,"Under $50K", H416&lt;100000,"$50K–$100K",
     H416&lt;200000,"$100K–$200K", H416&lt;500000,"$200K–$500K",
     H416&gt;=500000,"$500K+")</f>
        <v>$50K–$100K</v>
      </c>
      <c r="J416" s="9" t="str">
        <f t="shared" si="30"/>
        <v>2020s</v>
      </c>
      <c r="K416">
        <f t="shared" si="31"/>
        <v>5.4588043588960182E-2</v>
      </c>
      <c r="L416">
        <f t="shared" si="32"/>
        <v>0.37528868360277134</v>
      </c>
      <c r="M416">
        <f t="shared" si="33"/>
        <v>0.61702127659574468</v>
      </c>
      <c r="N416">
        <f t="shared" si="34"/>
        <v>0.34896600126249205</v>
      </c>
    </row>
    <row r="417" spans="1:14">
      <c r="A417" t="s">
        <v>19</v>
      </c>
      <c r="B417" t="s">
        <v>120</v>
      </c>
      <c r="C417">
        <v>2021</v>
      </c>
      <c r="D417">
        <v>3.9</v>
      </c>
      <c r="E417">
        <v>710</v>
      </c>
      <c r="F417">
        <v>568</v>
      </c>
      <c r="G417">
        <v>2.9</v>
      </c>
      <c r="H417" s="4">
        <v>274280</v>
      </c>
      <c r="I417" s="8" t="str" cm="1">
        <f t="array" ref="I417">_xlfn.IFS(H417&lt;50000,"Under $50K", H417&lt;100000,"$50K–$100K",
     H417&lt;200000,"$100K–$200K", H417&lt;500000,"$200K–$500K",
     H417&gt;=500000,"$500K+")</f>
        <v>$200K–$500K</v>
      </c>
      <c r="J417" s="9" t="str">
        <f t="shared" si="30"/>
        <v>2020s</v>
      </c>
      <c r="K417">
        <f t="shared" si="31"/>
        <v>5.3875140034626741E-2</v>
      </c>
      <c r="L417">
        <f t="shared" si="32"/>
        <v>0.32794457274826788</v>
      </c>
      <c r="M417">
        <f t="shared" si="33"/>
        <v>0.76595744680851063</v>
      </c>
      <c r="N417">
        <f t="shared" si="34"/>
        <v>0.3825923865304684</v>
      </c>
    </row>
    <row r="418" spans="1:14">
      <c r="A418" t="s">
        <v>20</v>
      </c>
      <c r="B418" t="s">
        <v>92</v>
      </c>
      <c r="C418">
        <v>2021</v>
      </c>
      <c r="D418">
        <v>3.5</v>
      </c>
      <c r="E418">
        <v>660</v>
      </c>
      <c r="F418">
        <v>550</v>
      </c>
      <c r="G418">
        <v>2.8</v>
      </c>
      <c r="H418" s="4">
        <v>500000</v>
      </c>
      <c r="I418" s="8" t="str" cm="1">
        <f t="array" ref="I418">_xlfn.IFS(H418&lt;50000,"Under $50K", H418&lt;100000,"$50K–$100K",
     H418&lt;200000,"$100K–$200K", H418&lt;500000,"$200K–$500K",
     H418&gt;=500000,"$500K+")</f>
        <v>$500K+</v>
      </c>
      <c r="J418" s="9" t="str">
        <f t="shared" si="30"/>
        <v>2020s</v>
      </c>
      <c r="K418">
        <f t="shared" si="31"/>
        <v>4.8782971789387924E-2</v>
      </c>
      <c r="L418">
        <f t="shared" si="32"/>
        <v>0.31755196304849886</v>
      </c>
      <c r="M418">
        <f t="shared" si="33"/>
        <v>0.78723404255319152</v>
      </c>
      <c r="N418">
        <f t="shared" si="34"/>
        <v>0.38452299246369276</v>
      </c>
    </row>
    <row r="419" spans="1:14">
      <c r="A419" t="s">
        <v>21</v>
      </c>
      <c r="B419" t="s">
        <v>160</v>
      </c>
      <c r="C419">
        <v>2021</v>
      </c>
      <c r="D419">
        <v>5</v>
      </c>
      <c r="E419">
        <v>575</v>
      </c>
      <c r="F419">
        <v>516</v>
      </c>
      <c r="G419">
        <v>3.5</v>
      </c>
      <c r="H419" s="4">
        <v>103200</v>
      </c>
      <c r="I419" s="8" t="str" cm="1">
        <f t="array" ref="I419">_xlfn.IFS(H419&lt;50000,"Under $50K", H419&lt;100000,"$50K–$100K",
     H419&lt;200000,"$100K–$200K", H419&lt;500000,"$200K–$500K",
     H419&gt;=500000,"$500K+")</f>
        <v>$100K–$200K</v>
      </c>
      <c r="J419" s="9" t="str">
        <f t="shared" si="30"/>
        <v>2020s</v>
      </c>
      <c r="K419">
        <f t="shared" si="31"/>
        <v>4.0126285772481923E-2</v>
      </c>
      <c r="L419">
        <f t="shared" si="32"/>
        <v>0.29792147806004621</v>
      </c>
      <c r="M419">
        <f t="shared" si="33"/>
        <v>0.63829787234042556</v>
      </c>
      <c r="N419">
        <f t="shared" si="34"/>
        <v>0.32544854539098456</v>
      </c>
    </row>
    <row r="420" spans="1:14">
      <c r="A420" t="s">
        <v>23</v>
      </c>
      <c r="B420" t="s">
        <v>190</v>
      </c>
      <c r="C420">
        <v>2022</v>
      </c>
      <c r="D420">
        <v>5</v>
      </c>
      <c r="E420">
        <v>1600</v>
      </c>
      <c r="F420">
        <v>1106</v>
      </c>
      <c r="G420">
        <v>2.1</v>
      </c>
      <c r="H420" s="4">
        <v>2800000</v>
      </c>
      <c r="I420" s="8" t="str" cm="1">
        <f t="array" ref="I420">_xlfn.IFS(H420&lt;50000,"Under $50K", H420&lt;100000,"$50K–$100K",
     H420&lt;200000,"$100K–$200K", H420&lt;500000,"$200K–$500K",
     H420&gt;=500000,"$500K+")</f>
        <v>$500K+</v>
      </c>
      <c r="J420" s="9" t="str">
        <f t="shared" si="30"/>
        <v>2020s</v>
      </c>
      <c r="K420">
        <f t="shared" si="31"/>
        <v>0.14451573479987778</v>
      </c>
      <c r="L420">
        <f t="shared" si="32"/>
        <v>0.63856812933025409</v>
      </c>
      <c r="M420">
        <f t="shared" si="33"/>
        <v>0.93617021276595747</v>
      </c>
      <c r="N420">
        <f t="shared" si="34"/>
        <v>0.57308469229869641</v>
      </c>
    </row>
    <row r="421" spans="1:14">
      <c r="A421" t="s">
        <v>25</v>
      </c>
      <c r="B421" t="s">
        <v>74</v>
      </c>
      <c r="C421">
        <v>2021</v>
      </c>
      <c r="D421">
        <v>5</v>
      </c>
      <c r="E421">
        <v>471</v>
      </c>
      <c r="F421">
        <v>398</v>
      </c>
      <c r="G421">
        <v>4.4000000000000004</v>
      </c>
      <c r="H421" s="4">
        <v>93050</v>
      </c>
      <c r="I421" s="8" t="str" cm="1">
        <f t="array" ref="I421">_xlfn.IFS(H421&lt;50000,"Under $50K", H421&lt;100000,"$50K–$100K",
     H421&lt;200000,"$100K–$200K", H421&lt;500000,"$200K–$500K",
     H421&gt;=500000,"$500K+")</f>
        <v>$50K–$100K</v>
      </c>
      <c r="J421" s="9" t="str">
        <f t="shared" si="30"/>
        <v>2020s</v>
      </c>
      <c r="K421">
        <f t="shared" si="31"/>
        <v>2.9534575822385171E-2</v>
      </c>
      <c r="L421">
        <f t="shared" si="32"/>
        <v>0.22979214780600463</v>
      </c>
      <c r="M421">
        <f t="shared" si="33"/>
        <v>0.44680851063829774</v>
      </c>
      <c r="N421">
        <f t="shared" si="34"/>
        <v>0.23537841142222918</v>
      </c>
    </row>
    <row r="422" spans="1:14">
      <c r="A422" t="s">
        <v>26</v>
      </c>
      <c r="B422" t="s">
        <v>191</v>
      </c>
      <c r="C422">
        <v>2022</v>
      </c>
      <c r="D422" t="s">
        <v>85</v>
      </c>
      <c r="E422">
        <v>1973</v>
      </c>
      <c r="F422">
        <v>1254</v>
      </c>
      <c r="G422">
        <v>2.5</v>
      </c>
      <c r="H422" s="4">
        <v>2750000</v>
      </c>
      <c r="I422" s="8" t="str" cm="1">
        <f t="array" ref="I422">_xlfn.IFS(H422&lt;50000,"Under $50K", H422&lt;100000,"$50K–$100K",
     H422&lt;200000,"$100K–$200K", H422&lt;500000,"$200K–$500K",
     H422&gt;=500000,"$500K+")</f>
        <v>$500K+</v>
      </c>
      <c r="J422" s="9" t="str">
        <f t="shared" si="30"/>
        <v>2020s</v>
      </c>
      <c r="K422">
        <f t="shared" si="31"/>
        <v>0.1825033099093594</v>
      </c>
      <c r="L422">
        <f t="shared" si="32"/>
        <v>0.72401847575057732</v>
      </c>
      <c r="M422">
        <f t="shared" si="33"/>
        <v>0.85106382978723405</v>
      </c>
      <c r="N422">
        <f t="shared" si="34"/>
        <v>0.58586187181572358</v>
      </c>
    </row>
    <row r="423" spans="1:14">
      <c r="A423" t="s">
        <v>29</v>
      </c>
      <c r="B423" t="s">
        <v>92</v>
      </c>
      <c r="C423">
        <v>2022</v>
      </c>
      <c r="D423">
        <v>4</v>
      </c>
      <c r="E423">
        <v>612</v>
      </c>
      <c r="F423">
        <v>465</v>
      </c>
      <c r="G423">
        <v>3.2</v>
      </c>
      <c r="H423" s="4">
        <v>210000</v>
      </c>
      <c r="I423" s="8" t="str" cm="1">
        <f t="array" ref="I423">_xlfn.IFS(H423&lt;50000,"Under $50K", H423&lt;100000,"$50K–$100K",
     H423&lt;200000,"$100K–$200K", H423&lt;500000,"$200K–$500K",
     H423&gt;=500000,"$500K+")</f>
        <v>$200K–$500K</v>
      </c>
      <c r="J423" s="9" t="str">
        <f t="shared" si="30"/>
        <v>2020s</v>
      </c>
      <c r="K423">
        <f t="shared" si="31"/>
        <v>4.3894490273958649E-2</v>
      </c>
      <c r="L423">
        <f t="shared" si="32"/>
        <v>0.26847575057736722</v>
      </c>
      <c r="M423">
        <f t="shared" si="33"/>
        <v>0.7021276595744681</v>
      </c>
      <c r="N423">
        <f t="shared" si="34"/>
        <v>0.33816596680859795</v>
      </c>
    </row>
    <row r="424" spans="1:14">
      <c r="A424" t="s">
        <v>31</v>
      </c>
      <c r="B424" t="s">
        <v>192</v>
      </c>
      <c r="C424">
        <v>2021</v>
      </c>
      <c r="D424">
        <v>4</v>
      </c>
      <c r="E424">
        <v>720</v>
      </c>
      <c r="F424">
        <v>590</v>
      </c>
      <c r="G424">
        <v>3.2</v>
      </c>
      <c r="H424" s="4">
        <v>326050</v>
      </c>
      <c r="I424" s="8" t="str" cm="1">
        <f t="array" ref="I424">_xlfn.IFS(H424&lt;50000,"Under $50K", H424&lt;100000,"$50K–$100K",
     H424&lt;200000,"$100K–$200K", H424&lt;500000,"$200K–$500K",
     H424&gt;=500000,"$500K+")</f>
        <v>$200K–$500K</v>
      </c>
      <c r="J424" s="9" t="str">
        <f t="shared" si="30"/>
        <v>2020s</v>
      </c>
      <c r="K424">
        <f t="shared" si="31"/>
        <v>5.4893573683674507E-2</v>
      </c>
      <c r="L424">
        <f t="shared" si="32"/>
        <v>0.34064665127020788</v>
      </c>
      <c r="M424">
        <f t="shared" si="33"/>
        <v>0.7021276595744681</v>
      </c>
      <c r="N424">
        <f t="shared" si="34"/>
        <v>0.36588929484278349</v>
      </c>
    </row>
    <row r="425" spans="1:14">
      <c r="A425" t="s">
        <v>36</v>
      </c>
      <c r="B425" t="s">
        <v>86</v>
      </c>
      <c r="C425">
        <v>2021</v>
      </c>
      <c r="D425">
        <v>4</v>
      </c>
      <c r="E425">
        <v>414</v>
      </c>
      <c r="F425">
        <v>309</v>
      </c>
      <c r="G425">
        <v>4.2</v>
      </c>
      <c r="H425" s="4">
        <v>102500</v>
      </c>
      <c r="I425" s="8" t="str" cm="1">
        <f t="array" ref="I425">_xlfn.IFS(H425&lt;50000,"Under $50K", H425&lt;100000,"$50K–$100K",
     H425&lt;200000,"$100K–$200K", H425&lt;500000,"$200K–$500K",
     H425&gt;=500000,"$500K+")</f>
        <v>$100K–$200K</v>
      </c>
      <c r="J425" s="9" t="str">
        <f t="shared" si="30"/>
        <v>2020s</v>
      </c>
      <c r="K425">
        <f t="shared" si="31"/>
        <v>2.3729504022812913E-2</v>
      </c>
      <c r="L425">
        <f t="shared" si="32"/>
        <v>0.17840646651270209</v>
      </c>
      <c r="M425">
        <f t="shared" si="33"/>
        <v>0.4893617021276595</v>
      </c>
      <c r="N425">
        <f t="shared" si="34"/>
        <v>0.23049922422105817</v>
      </c>
    </row>
    <row r="426" spans="1:14">
      <c r="A426" t="s">
        <v>24</v>
      </c>
      <c r="B426" t="s">
        <v>115</v>
      </c>
      <c r="C426">
        <v>2021</v>
      </c>
      <c r="D426">
        <v>6.5</v>
      </c>
      <c r="E426">
        <v>770</v>
      </c>
      <c r="F426">
        <v>531</v>
      </c>
      <c r="G426">
        <v>2.8</v>
      </c>
      <c r="H426" s="4">
        <v>417650</v>
      </c>
      <c r="I426" s="8" t="str" cm="1">
        <f t="array" ref="I426">_xlfn.IFS(H426&lt;50000,"Under $50K", H426&lt;100000,"$50K–$100K",
     H426&lt;200000,"$100K–$200K", H426&lt;500000,"$200K–$500K",
     H426&gt;=500000,"$500K+")</f>
        <v>$200K–$500K</v>
      </c>
      <c r="J426" s="9" t="str">
        <f t="shared" si="30"/>
        <v>2020s</v>
      </c>
      <c r="K426">
        <f t="shared" si="31"/>
        <v>5.998574192891333E-2</v>
      </c>
      <c r="L426">
        <f t="shared" si="32"/>
        <v>0.30658198614318705</v>
      </c>
      <c r="M426">
        <f t="shared" si="33"/>
        <v>0.78723404255319152</v>
      </c>
      <c r="N426">
        <f t="shared" si="34"/>
        <v>0.38460059020843063</v>
      </c>
    </row>
    <row r="427" spans="1:14">
      <c r="A427" t="s">
        <v>19</v>
      </c>
      <c r="B427" t="s">
        <v>134</v>
      </c>
      <c r="C427">
        <v>2021</v>
      </c>
      <c r="D427">
        <v>3.9</v>
      </c>
      <c r="E427">
        <v>591</v>
      </c>
      <c r="F427">
        <v>560</v>
      </c>
      <c r="G427">
        <v>3.3</v>
      </c>
      <c r="H427" s="4">
        <v>218750</v>
      </c>
      <c r="I427" s="8" t="str" cm="1">
        <f t="array" ref="I427">_xlfn.IFS(H427&lt;50000,"Under $50K", H427&lt;100000,"$50K–$100K",
     H427&lt;200000,"$100K–$200K", H427&lt;500000,"$200K–$500K",
     H427&gt;=500000,"$500K+")</f>
        <v>$200K–$500K</v>
      </c>
      <c r="J427" s="9" t="str">
        <f t="shared" si="30"/>
        <v>2020s</v>
      </c>
      <c r="K427">
        <f t="shared" si="31"/>
        <v>4.1755779610958346E-2</v>
      </c>
      <c r="L427">
        <f t="shared" si="32"/>
        <v>0.32332563510392609</v>
      </c>
      <c r="M427">
        <f t="shared" si="33"/>
        <v>0.68085106382978733</v>
      </c>
      <c r="N427">
        <f t="shared" si="34"/>
        <v>0.34864415951489058</v>
      </c>
    </row>
    <row r="428" spans="1:14">
      <c r="A428" t="s">
        <v>13</v>
      </c>
      <c r="B428" t="s">
        <v>118</v>
      </c>
      <c r="C428">
        <v>2022</v>
      </c>
      <c r="D428">
        <v>2.5</v>
      </c>
      <c r="E428">
        <v>394</v>
      </c>
      <c r="F428">
        <v>354</v>
      </c>
      <c r="G428">
        <v>3.6</v>
      </c>
      <c r="H428" s="4">
        <v>69000</v>
      </c>
      <c r="I428" s="8" t="str" cm="1">
        <f t="array" ref="I428">_xlfn.IFS(H428&lt;50000,"Under $50K", H428&lt;100000,"$50K–$100K",
     H428&lt;200000,"$100K–$200K", H428&lt;500000,"$200K–$500K",
     H428&gt;=500000,"$500K+")</f>
        <v>$50K–$100K</v>
      </c>
      <c r="J428" s="9" t="str">
        <f t="shared" si="30"/>
        <v>2020s</v>
      </c>
      <c r="K428">
        <f t="shared" si="31"/>
        <v>2.1692636724717385E-2</v>
      </c>
      <c r="L428">
        <f t="shared" si="32"/>
        <v>0.20438799076212472</v>
      </c>
      <c r="M428">
        <f t="shared" si="33"/>
        <v>0.61702127659574468</v>
      </c>
      <c r="N428">
        <f t="shared" si="34"/>
        <v>0.28103396802752895</v>
      </c>
    </row>
    <row r="429" spans="1:14">
      <c r="A429" t="s">
        <v>29</v>
      </c>
      <c r="B429" t="s">
        <v>193</v>
      </c>
      <c r="C429">
        <v>2021</v>
      </c>
      <c r="D429">
        <v>3.8</v>
      </c>
      <c r="E429">
        <v>592</v>
      </c>
      <c r="F429">
        <v>457</v>
      </c>
      <c r="G429">
        <v>2.8</v>
      </c>
      <c r="H429" s="4">
        <v>256500</v>
      </c>
      <c r="I429" s="8" t="str" cm="1">
        <f t="array" ref="I429">_xlfn.IFS(H429&lt;50000,"Under $50K", H429&lt;100000,"$50K–$100K",
     H429&lt;200000,"$100K–$200K", H429&lt;500000,"$200K–$500K",
     H429&gt;=500000,"$500K+")</f>
        <v>$200K–$500K</v>
      </c>
      <c r="J429" s="9" t="str">
        <f t="shared" si="30"/>
        <v>2020s</v>
      </c>
      <c r="K429">
        <f t="shared" si="31"/>
        <v>4.1857622975863124E-2</v>
      </c>
      <c r="L429">
        <f t="shared" si="32"/>
        <v>0.26385681293302543</v>
      </c>
      <c r="M429">
        <f t="shared" si="33"/>
        <v>0.78723404255319152</v>
      </c>
      <c r="N429">
        <f t="shared" si="34"/>
        <v>0.36431615948736001</v>
      </c>
    </row>
    <row r="430" spans="1:14">
      <c r="A430" t="s">
        <v>15</v>
      </c>
      <c r="B430" t="s">
        <v>90</v>
      </c>
      <c r="C430">
        <v>2022</v>
      </c>
      <c r="D430">
        <v>3</v>
      </c>
      <c r="E430">
        <v>473</v>
      </c>
      <c r="F430">
        <v>406</v>
      </c>
      <c r="G430">
        <v>4.0999999999999996</v>
      </c>
      <c r="H430" s="4">
        <v>72800</v>
      </c>
      <c r="I430" s="8" t="str" cm="1">
        <f t="array" ref="I430">_xlfn.IFS(H430&lt;50000,"Under $50K", H430&lt;100000,"$50K–$100K",
     H430&lt;200000,"$100K–$200K", H430&lt;500000,"$200K–$500K",
     H430&gt;=500000,"$500K+")</f>
        <v>$50K–$100K</v>
      </c>
      <c r="J430" s="9" t="str">
        <f t="shared" si="30"/>
        <v>2020s</v>
      </c>
      <c r="K430">
        <f t="shared" si="31"/>
        <v>2.9738262552194725E-2</v>
      </c>
      <c r="L430">
        <f t="shared" si="32"/>
        <v>0.23441108545034642</v>
      </c>
      <c r="M430">
        <f t="shared" si="33"/>
        <v>0.5106382978723405</v>
      </c>
      <c r="N430">
        <f t="shared" si="34"/>
        <v>0.25826254862496056</v>
      </c>
    </row>
    <row r="431" spans="1:14">
      <c r="A431" t="s">
        <v>31</v>
      </c>
      <c r="B431" t="s">
        <v>149</v>
      </c>
      <c r="C431">
        <v>2022</v>
      </c>
      <c r="D431">
        <v>4</v>
      </c>
      <c r="E431">
        <v>503</v>
      </c>
      <c r="F431">
        <v>516</v>
      </c>
      <c r="G431">
        <v>3.8</v>
      </c>
      <c r="H431" s="4">
        <v>70000</v>
      </c>
      <c r="I431" s="8" t="str" cm="1">
        <f t="array" ref="I431">_xlfn.IFS(H431&lt;50000,"Under $50K", H431&lt;100000,"$50K–$100K",
     H431&lt;200000,"$100K–$200K", H431&lt;500000,"$200K–$500K",
     H431&gt;=500000,"$500K+")</f>
        <v>$50K–$100K</v>
      </c>
      <c r="J431" s="9" t="str">
        <f t="shared" si="30"/>
        <v>2020s</v>
      </c>
      <c r="K431">
        <f t="shared" si="31"/>
        <v>3.279356349933802E-2</v>
      </c>
      <c r="L431">
        <f t="shared" si="32"/>
        <v>0.29792147806004621</v>
      </c>
      <c r="M431">
        <f t="shared" si="33"/>
        <v>0.57446808510638303</v>
      </c>
      <c r="N431">
        <f t="shared" si="34"/>
        <v>0.30172770888858907</v>
      </c>
    </row>
    <row r="432" spans="1:14">
      <c r="A432" t="s">
        <v>17</v>
      </c>
      <c r="B432" t="s">
        <v>194</v>
      </c>
      <c r="C432">
        <v>2021</v>
      </c>
      <c r="D432">
        <v>6.2</v>
      </c>
      <c r="E432">
        <v>455</v>
      </c>
      <c r="F432">
        <v>455</v>
      </c>
      <c r="G432">
        <v>4</v>
      </c>
      <c r="H432" s="4">
        <v>44500</v>
      </c>
      <c r="I432" s="8" t="str" cm="1">
        <f t="array" ref="I432">_xlfn.IFS(H432&lt;50000,"Under $50K", H432&lt;100000,"$50K–$100K",
     H432&lt;200000,"$100K–$200K", H432&lt;500000,"$200K–$500K",
     H432&gt;=500000,"$500K+")</f>
        <v>Under $50K</v>
      </c>
      <c r="J432" s="9" t="str">
        <f t="shared" si="30"/>
        <v>2020s</v>
      </c>
      <c r="K432">
        <f t="shared" si="31"/>
        <v>2.7905081983908748E-2</v>
      </c>
      <c r="L432">
        <f t="shared" si="32"/>
        <v>0.26270207852193994</v>
      </c>
      <c r="M432">
        <f t="shared" si="33"/>
        <v>0.53191489361702127</v>
      </c>
      <c r="N432">
        <f t="shared" si="34"/>
        <v>0.27417401804095665</v>
      </c>
    </row>
    <row r="433" spans="1:14">
      <c r="A433" t="s">
        <v>20</v>
      </c>
      <c r="B433" t="s">
        <v>121</v>
      </c>
      <c r="C433">
        <v>2021</v>
      </c>
      <c r="D433">
        <v>5</v>
      </c>
      <c r="E433">
        <v>480</v>
      </c>
      <c r="F433">
        <v>420</v>
      </c>
      <c r="G433">
        <v>4</v>
      </c>
      <c r="H433" s="4">
        <v>51000</v>
      </c>
      <c r="I433" s="8" t="str" cm="1">
        <f t="array" ref="I433">_xlfn.IFS(H433&lt;50000,"Under $50K", H433&lt;100000,"$50K–$100K",
     H433&lt;200000,"$100K–$200K", H433&lt;500000,"$200K–$500K",
     H433&gt;=500000,"$500K+")</f>
        <v>$50K–$100K</v>
      </c>
      <c r="J433" s="9" t="str">
        <f t="shared" si="30"/>
        <v>2020s</v>
      </c>
      <c r="K433">
        <f t="shared" si="31"/>
        <v>3.045116610652816E-2</v>
      </c>
      <c r="L433">
        <f t="shared" si="32"/>
        <v>0.24249422632794457</v>
      </c>
      <c r="M433">
        <f t="shared" si="33"/>
        <v>0.53191489361702127</v>
      </c>
      <c r="N433">
        <f t="shared" si="34"/>
        <v>0.26828676201716467</v>
      </c>
    </row>
    <row r="434" spans="1:14">
      <c r="A434" t="s">
        <v>32</v>
      </c>
      <c r="B434" t="s">
        <v>93</v>
      </c>
      <c r="C434">
        <v>2021</v>
      </c>
      <c r="D434">
        <v>3.7</v>
      </c>
      <c r="E434">
        <v>350</v>
      </c>
      <c r="F434">
        <v>276</v>
      </c>
      <c r="G434">
        <v>5.2</v>
      </c>
      <c r="H434" s="4">
        <v>45000</v>
      </c>
      <c r="I434" s="8" t="str" cm="1">
        <f t="array" ref="I434">_xlfn.IFS(H434&lt;50000,"Under $50K", H434&lt;100000,"$50K–$100K",
     H434&lt;200000,"$100K–$200K", H434&lt;500000,"$200K–$500K",
     H434&gt;=500000,"$500K+")</f>
        <v>Under $50K</v>
      </c>
      <c r="J434" s="9" t="str">
        <f t="shared" si="30"/>
        <v>2020s</v>
      </c>
      <c r="K434">
        <f t="shared" si="31"/>
        <v>1.7211528668907222E-2</v>
      </c>
      <c r="L434">
        <f t="shared" si="32"/>
        <v>0.15935334872979215</v>
      </c>
      <c r="M434">
        <f t="shared" si="33"/>
        <v>0.27659574468085102</v>
      </c>
      <c r="N434">
        <f t="shared" si="34"/>
        <v>0.15105354069318347</v>
      </c>
    </row>
    <row r="435" spans="1:14">
      <c r="A435" t="s">
        <v>12</v>
      </c>
      <c r="B435" t="s">
        <v>107</v>
      </c>
      <c r="C435">
        <v>2021</v>
      </c>
      <c r="D435">
        <v>4</v>
      </c>
      <c r="E435">
        <v>503</v>
      </c>
      <c r="F435">
        <v>505</v>
      </c>
      <c r="G435">
        <v>3.5</v>
      </c>
      <c r="H435" s="4">
        <v>146000</v>
      </c>
      <c r="I435" s="8" t="str" cm="1">
        <f t="array" ref="I435">_xlfn.IFS(H435&lt;50000,"Under $50K", H435&lt;100000,"$50K–$100K",
     H435&lt;200000,"$100K–$200K", H435&lt;500000,"$200K–$500K",
     H435&gt;=500000,"$500K+")</f>
        <v>$100K–$200K</v>
      </c>
      <c r="J435" s="9" t="str">
        <f t="shared" si="30"/>
        <v>2020s</v>
      </c>
      <c r="K435">
        <f t="shared" si="31"/>
        <v>3.279356349933802E-2</v>
      </c>
      <c r="L435">
        <f t="shared" si="32"/>
        <v>0.29157043879907624</v>
      </c>
      <c r="M435">
        <f t="shared" si="33"/>
        <v>0.63829787234042556</v>
      </c>
      <c r="N435">
        <f t="shared" si="34"/>
        <v>0.32088729154627993</v>
      </c>
    </row>
    <row r="436" spans="1:14">
      <c r="A436" t="s">
        <v>16</v>
      </c>
      <c r="B436" t="s">
        <v>70</v>
      </c>
      <c r="C436">
        <v>2022</v>
      </c>
      <c r="D436">
        <v>8</v>
      </c>
      <c r="E436">
        <v>1500</v>
      </c>
      <c r="F436">
        <v>1180</v>
      </c>
      <c r="G436">
        <v>2.4</v>
      </c>
      <c r="H436" s="4">
        <v>3000000</v>
      </c>
      <c r="I436" s="8" t="str" cm="1">
        <f t="array" ref="I436">_xlfn.IFS(H436&lt;50000,"Under $50K", H436&lt;100000,"$50K–$100K",
     H436&lt;200000,"$100K–$200K", H436&lt;500000,"$200K–$500K",
     H436&gt;=500000,"$500K+")</f>
        <v>$500K+</v>
      </c>
      <c r="J436" s="9" t="str">
        <f t="shared" si="30"/>
        <v>2020s</v>
      </c>
      <c r="K436">
        <f t="shared" si="31"/>
        <v>0.13433139830940014</v>
      </c>
      <c r="L436">
        <f t="shared" si="32"/>
        <v>0.68129330254041576</v>
      </c>
      <c r="M436">
        <f t="shared" si="33"/>
        <v>0.87234042553191493</v>
      </c>
      <c r="N436">
        <f t="shared" si="34"/>
        <v>0.5626550421272436</v>
      </c>
    </row>
    <row r="437" spans="1:14">
      <c r="A437" t="s">
        <v>23</v>
      </c>
      <c r="B437" t="s">
        <v>73</v>
      </c>
      <c r="C437">
        <v>2021</v>
      </c>
      <c r="D437">
        <v>5</v>
      </c>
      <c r="E437">
        <v>1262</v>
      </c>
      <c r="F437">
        <v>1106</v>
      </c>
      <c r="G437">
        <v>2.5</v>
      </c>
      <c r="H437" s="4">
        <v>3000000</v>
      </c>
      <c r="I437" s="8" t="str" cm="1">
        <f t="array" ref="I437">_xlfn.IFS(H437&lt;50000,"Under $50K", H437&lt;100000,"$50K–$100K",
     H437&lt;200000,"$100K–$200K", H437&lt;500000,"$200K–$500K",
     H437&gt;=500000,"$500K+")</f>
        <v>$500K+</v>
      </c>
      <c r="J437" s="9" t="str">
        <f t="shared" si="30"/>
        <v>2020s</v>
      </c>
      <c r="K437">
        <f t="shared" si="31"/>
        <v>0.11009267746206335</v>
      </c>
      <c r="L437">
        <f t="shared" si="32"/>
        <v>0.63856812933025409</v>
      </c>
      <c r="M437">
        <f t="shared" si="33"/>
        <v>0.85106382978723405</v>
      </c>
      <c r="N437">
        <f t="shared" si="34"/>
        <v>0.53324154552651715</v>
      </c>
    </row>
    <row r="438" spans="1:14">
      <c r="A438" t="s">
        <v>33</v>
      </c>
      <c r="B438" t="s">
        <v>83</v>
      </c>
      <c r="C438">
        <v>2021</v>
      </c>
      <c r="D438">
        <v>6</v>
      </c>
      <c r="E438">
        <v>764</v>
      </c>
      <c r="F438">
        <v>738</v>
      </c>
      <c r="G438">
        <v>2.6</v>
      </c>
      <c r="H438" s="4">
        <v>2600000</v>
      </c>
      <c r="I438" s="8" t="str" cm="1">
        <f t="array" ref="I438">_xlfn.IFS(H438&lt;50000,"Under $50K", H438&lt;100000,"$50K–$100K",
     H438&lt;200000,"$100K–$200K", H438&lt;500000,"$200K–$500K",
     H438&gt;=500000,"$500K+")</f>
        <v>$500K+</v>
      </c>
      <c r="J438" s="9" t="str">
        <f t="shared" si="30"/>
        <v>2020s</v>
      </c>
      <c r="K438">
        <f t="shared" si="31"/>
        <v>5.9374681739484673E-2</v>
      </c>
      <c r="L438">
        <f t="shared" si="32"/>
        <v>0.42609699769053117</v>
      </c>
      <c r="M438">
        <f t="shared" si="33"/>
        <v>0.82978723404255317</v>
      </c>
      <c r="N438">
        <f t="shared" si="34"/>
        <v>0.43841963782418963</v>
      </c>
    </row>
    <row r="439" spans="1:14">
      <c r="A439" t="s">
        <v>29</v>
      </c>
      <c r="B439" t="s">
        <v>195</v>
      </c>
      <c r="C439">
        <v>2021</v>
      </c>
      <c r="D439">
        <v>4</v>
      </c>
      <c r="E439">
        <v>1035</v>
      </c>
      <c r="F439">
        <v>848</v>
      </c>
      <c r="G439">
        <v>2.5</v>
      </c>
      <c r="H439" s="4">
        <v>2300000</v>
      </c>
      <c r="I439" s="8" t="str" cm="1">
        <f t="array" ref="I439">_xlfn.IFS(H439&lt;50000,"Under $50K", H439&lt;100000,"$50K–$100K",
     H439&lt;200000,"$100K–$200K", H439&lt;500000,"$200K–$500K",
     H439&gt;=500000,"$500K+")</f>
        <v>$500K+</v>
      </c>
      <c r="J439" s="9" t="str">
        <f t="shared" si="30"/>
        <v>2020s</v>
      </c>
      <c r="K439">
        <f t="shared" si="31"/>
        <v>8.6974233628679093E-2</v>
      </c>
      <c r="L439">
        <f t="shared" si="32"/>
        <v>0.48960739030023093</v>
      </c>
      <c r="M439">
        <f t="shared" si="33"/>
        <v>0.85106382978723405</v>
      </c>
      <c r="N439">
        <f t="shared" si="34"/>
        <v>0.47588181790538137</v>
      </c>
    </row>
    <row r="440" spans="1:14">
      <c r="A440" t="s">
        <v>24</v>
      </c>
      <c r="B440" t="s">
        <v>196</v>
      </c>
      <c r="C440">
        <v>2021</v>
      </c>
      <c r="D440">
        <v>6.5</v>
      </c>
      <c r="E440">
        <v>819</v>
      </c>
      <c r="F440">
        <v>531</v>
      </c>
      <c r="G440">
        <v>2.8</v>
      </c>
      <c r="H440" s="4">
        <v>3600000</v>
      </c>
      <c r="I440" s="8" t="str" cm="1">
        <f t="array" ref="I440">_xlfn.IFS(H440&lt;50000,"Under $50K", H440&lt;100000,"$50K–$100K",
     H440&lt;200000,"$100K–$200K", H440&lt;500000,"$200K–$500K",
     H440&gt;=500000,"$500K+")</f>
        <v>$500K+</v>
      </c>
      <c r="J440" s="9" t="str">
        <f t="shared" si="30"/>
        <v>2020s</v>
      </c>
      <c r="K440">
        <f t="shared" si="31"/>
        <v>6.4976066809247376E-2</v>
      </c>
      <c r="L440">
        <f t="shared" si="32"/>
        <v>0.30658198614318705</v>
      </c>
      <c r="M440">
        <f t="shared" si="33"/>
        <v>0.78723404255319152</v>
      </c>
      <c r="N440">
        <f t="shared" si="34"/>
        <v>0.38626403183520863</v>
      </c>
    </row>
    <row r="441" spans="1:14">
      <c r="A441" t="s">
        <v>37</v>
      </c>
      <c r="B441" t="s">
        <v>140</v>
      </c>
      <c r="C441">
        <v>2021</v>
      </c>
      <c r="D441" t="s">
        <v>85</v>
      </c>
      <c r="E441">
        <v>1914</v>
      </c>
      <c r="F441">
        <v>1732</v>
      </c>
      <c r="G441">
        <v>1.8</v>
      </c>
      <c r="H441" s="4">
        <v>2400000</v>
      </c>
      <c r="I441" s="8" t="str" cm="1">
        <f t="array" ref="I441">_xlfn.IFS(H441&lt;50000,"Under $50K", H441&lt;100000,"$50K–$100K",
     H441&lt;200000,"$100K–$200K", H441&lt;500000,"$200K–$500K",
     H441&gt;=500000,"$500K+")</f>
        <v>$500K+</v>
      </c>
      <c r="J441" s="9" t="str">
        <f t="shared" si="30"/>
        <v>2020s</v>
      </c>
      <c r="K441">
        <f t="shared" si="31"/>
        <v>0.1764945513799776</v>
      </c>
      <c r="L441">
        <f t="shared" si="32"/>
        <v>1</v>
      </c>
      <c r="M441">
        <f t="shared" si="33"/>
        <v>1</v>
      </c>
      <c r="N441">
        <f t="shared" si="34"/>
        <v>0.72549818379332587</v>
      </c>
    </row>
    <row r="442" spans="1:14">
      <c r="A442" t="s">
        <v>36</v>
      </c>
      <c r="B442" t="s">
        <v>102</v>
      </c>
      <c r="C442">
        <v>2022</v>
      </c>
      <c r="D442">
        <v>2</v>
      </c>
      <c r="E442">
        <v>300</v>
      </c>
      <c r="F442">
        <v>280</v>
      </c>
      <c r="G442">
        <v>4.9000000000000004</v>
      </c>
      <c r="H442" s="4">
        <v>59900</v>
      </c>
      <c r="I442" s="8" t="str" cm="1">
        <f t="array" ref="I442">_xlfn.IFS(H442&lt;50000,"Under $50K", H442&lt;100000,"$50K–$100K",
     H442&lt;200000,"$100K–$200K", H442&lt;500000,"$200K–$500K",
     H442&gt;=500000,"$500K+")</f>
        <v>$50K–$100K</v>
      </c>
      <c r="J442" s="9" t="str">
        <f t="shared" si="30"/>
        <v>2020s</v>
      </c>
      <c r="K442">
        <f t="shared" si="31"/>
        <v>1.2119360423668398E-2</v>
      </c>
      <c r="L442">
        <f t="shared" si="32"/>
        <v>0.16166281755196305</v>
      </c>
      <c r="M442">
        <f t="shared" si="33"/>
        <v>0.34042553191489355</v>
      </c>
      <c r="N442">
        <f t="shared" si="34"/>
        <v>0.17140256996350833</v>
      </c>
    </row>
    <row r="443" spans="1:14">
      <c r="A443" t="s">
        <v>24</v>
      </c>
      <c r="B443" t="s">
        <v>115</v>
      </c>
      <c r="C443">
        <v>2021</v>
      </c>
      <c r="D443">
        <v>6.5</v>
      </c>
      <c r="E443">
        <v>770</v>
      </c>
      <c r="F443">
        <v>531</v>
      </c>
      <c r="G443">
        <v>2.8</v>
      </c>
      <c r="H443" s="4">
        <v>393695</v>
      </c>
      <c r="I443" s="8" t="str" cm="1">
        <f t="array" ref="I443">_xlfn.IFS(H443&lt;50000,"Under $50K", H443&lt;100000,"$50K–$100K",
     H443&lt;200000,"$100K–$200K", H443&lt;500000,"$200K–$500K",
     H443&gt;=500000,"$500K+")</f>
        <v>$200K–$500K</v>
      </c>
      <c r="J443" s="9" t="str">
        <f t="shared" si="30"/>
        <v>2020s</v>
      </c>
      <c r="K443">
        <f t="shared" si="31"/>
        <v>5.998574192891333E-2</v>
      </c>
      <c r="L443">
        <f t="shared" si="32"/>
        <v>0.30658198614318705</v>
      </c>
      <c r="M443">
        <f t="shared" si="33"/>
        <v>0.78723404255319152</v>
      </c>
      <c r="N443">
        <f t="shared" si="34"/>
        <v>0.38460059020843063</v>
      </c>
    </row>
    <row r="444" spans="1:14">
      <c r="A444" t="s">
        <v>19</v>
      </c>
      <c r="B444" t="s">
        <v>134</v>
      </c>
      <c r="C444">
        <v>2021</v>
      </c>
      <c r="D444">
        <v>3.9</v>
      </c>
      <c r="E444">
        <v>591</v>
      </c>
      <c r="F444">
        <v>413</v>
      </c>
      <c r="G444">
        <v>3.5</v>
      </c>
      <c r="H444" s="4">
        <v>215000</v>
      </c>
      <c r="I444" s="8" t="str" cm="1">
        <f t="array" ref="I444">_xlfn.IFS(H444&lt;50000,"Under $50K", H444&lt;100000,"$50K–$100K",
     H444&lt;200000,"$100K–$200K", H444&lt;500000,"$200K–$500K",
     H444&gt;=500000,"$500K+")</f>
        <v>$200K–$500K</v>
      </c>
      <c r="J444" s="9" t="str">
        <f t="shared" si="30"/>
        <v>2020s</v>
      </c>
      <c r="K444">
        <f t="shared" si="31"/>
        <v>4.1755779610958346E-2</v>
      </c>
      <c r="L444">
        <f t="shared" si="32"/>
        <v>0.23845265588914549</v>
      </c>
      <c r="M444">
        <f t="shared" si="33"/>
        <v>0.63829787234042556</v>
      </c>
      <c r="N444">
        <f t="shared" si="34"/>
        <v>0.30616876928017644</v>
      </c>
    </row>
    <row r="445" spans="1:14">
      <c r="A445" t="s">
        <v>13</v>
      </c>
      <c r="B445" t="s">
        <v>185</v>
      </c>
      <c r="C445">
        <v>2022</v>
      </c>
      <c r="D445">
        <v>2.9</v>
      </c>
      <c r="E445">
        <v>444</v>
      </c>
      <c r="F445">
        <v>443</v>
      </c>
      <c r="G445">
        <v>3.7</v>
      </c>
      <c r="H445" s="4">
        <v>75100</v>
      </c>
      <c r="I445" s="8" t="str" cm="1">
        <f t="array" ref="I445">_xlfn.IFS(H445&lt;50000,"Under $50K", H445&lt;100000,"$50K–$100K",
     H445&lt;200000,"$100K–$200K", H445&lt;500000,"$200K–$500K",
     H445&gt;=500000,"$500K+")</f>
        <v>$50K–$100K</v>
      </c>
      <c r="J445" s="9" t="str">
        <f t="shared" si="30"/>
        <v>2020s</v>
      </c>
      <c r="K445">
        <f t="shared" si="31"/>
        <v>2.6784804969956208E-2</v>
      </c>
      <c r="L445">
        <f t="shared" si="32"/>
        <v>0.25577367205542723</v>
      </c>
      <c r="M445">
        <f t="shared" si="33"/>
        <v>0.5957446808510638</v>
      </c>
      <c r="N445">
        <f t="shared" si="34"/>
        <v>0.29276771929214912</v>
      </c>
    </row>
    <row r="446" spans="1:14">
      <c r="A446" t="s">
        <v>29</v>
      </c>
      <c r="B446" t="s">
        <v>92</v>
      </c>
      <c r="C446">
        <v>2021</v>
      </c>
      <c r="D446">
        <v>4</v>
      </c>
      <c r="E446">
        <v>620</v>
      </c>
      <c r="F446">
        <v>465</v>
      </c>
      <c r="G446">
        <v>3.1</v>
      </c>
      <c r="H446" s="4">
        <v>210000</v>
      </c>
      <c r="I446" s="8" t="str" cm="1">
        <f t="array" ref="I446">_xlfn.IFS(H446&lt;50000,"Under $50K", H446&lt;100000,"$50K–$100K",
     H446&lt;200000,"$100K–$200K", H446&lt;500000,"$200K–$500K",
     H446&gt;=500000,"$500K+")</f>
        <v>$200K–$500K</v>
      </c>
      <c r="J446" s="9" t="str">
        <f t="shared" si="30"/>
        <v>2020s</v>
      </c>
      <c r="K446">
        <f t="shared" si="31"/>
        <v>4.470923719319686E-2</v>
      </c>
      <c r="L446">
        <f t="shared" si="32"/>
        <v>0.26847575057736722</v>
      </c>
      <c r="M446">
        <f t="shared" si="33"/>
        <v>0.72340425531914887</v>
      </c>
      <c r="N446">
        <f t="shared" si="34"/>
        <v>0.34552974769657102</v>
      </c>
    </row>
    <row r="447" spans="1:14">
      <c r="A447" t="s">
        <v>15</v>
      </c>
      <c r="B447" t="s">
        <v>136</v>
      </c>
      <c r="C447">
        <v>2022</v>
      </c>
      <c r="D447">
        <v>3</v>
      </c>
      <c r="E447">
        <v>382</v>
      </c>
      <c r="F447">
        <v>369</v>
      </c>
      <c r="G447">
        <v>4.3</v>
      </c>
      <c r="H447" s="4">
        <v>63700</v>
      </c>
      <c r="I447" s="8" t="str" cm="1">
        <f t="array" ref="I447">_xlfn.IFS(H447&lt;50000,"Under $50K", H447&lt;100000,"$50K–$100K",
     H447&lt;200000,"$100K–$200K", H447&lt;500000,"$200K–$500K",
     H447&gt;=500000,"$500K+")</f>
        <v>$50K–$100K</v>
      </c>
      <c r="J447" s="9" t="str">
        <f t="shared" si="30"/>
        <v>2020s</v>
      </c>
      <c r="K447">
        <f t="shared" si="31"/>
        <v>2.0470516345860067E-2</v>
      </c>
      <c r="L447">
        <f t="shared" si="32"/>
        <v>0.21304849884526558</v>
      </c>
      <c r="M447">
        <f t="shared" si="33"/>
        <v>0.46808510638297873</v>
      </c>
      <c r="N447">
        <f t="shared" si="34"/>
        <v>0.23386804052470145</v>
      </c>
    </row>
    <row r="448" spans="1:14">
      <c r="A448" t="s">
        <v>31</v>
      </c>
      <c r="B448" t="s">
        <v>197</v>
      </c>
      <c r="C448">
        <v>2020</v>
      </c>
      <c r="D448">
        <v>3</v>
      </c>
      <c r="E448">
        <v>385</v>
      </c>
      <c r="F448">
        <v>384</v>
      </c>
      <c r="G448">
        <v>4.5999999999999996</v>
      </c>
      <c r="H448" s="4">
        <v>62000</v>
      </c>
      <c r="I448" s="8" t="str" cm="1">
        <f t="array" ref="I448">_xlfn.IFS(H448&lt;50000,"Under $50K", H448&lt;100000,"$50K–$100K",
     H448&lt;200000,"$100K–$200K", H448&lt;500000,"$200K–$500K",
     H448&gt;=500000,"$500K+")</f>
        <v>$50K–$100K</v>
      </c>
      <c r="J448" s="9" t="str">
        <f t="shared" si="30"/>
        <v>2020s</v>
      </c>
      <c r="K448">
        <f t="shared" si="31"/>
        <v>2.0776046440574396E-2</v>
      </c>
      <c r="L448">
        <f t="shared" si="32"/>
        <v>0.22170900692840648</v>
      </c>
      <c r="M448">
        <f t="shared" si="33"/>
        <v>0.4042553191489362</v>
      </c>
      <c r="N448">
        <f t="shared" si="34"/>
        <v>0.21558012417263903</v>
      </c>
    </row>
    <row r="449" spans="1:14">
      <c r="A449" t="s">
        <v>17</v>
      </c>
      <c r="B449" t="s">
        <v>105</v>
      </c>
      <c r="C449">
        <v>2022</v>
      </c>
      <c r="D449">
        <v>6.2</v>
      </c>
      <c r="E449">
        <v>455</v>
      </c>
      <c r="F449">
        <v>455</v>
      </c>
      <c r="G449">
        <v>4.3</v>
      </c>
      <c r="H449" s="4">
        <v>42500</v>
      </c>
      <c r="I449" s="8" t="str" cm="1">
        <f t="array" ref="I449">_xlfn.IFS(H449&lt;50000,"Under $50K", H449&lt;100000,"$50K–$100K",
     H449&lt;200000,"$100K–$200K", H449&lt;500000,"$200K–$500K",
     H449&gt;=500000,"$500K+")</f>
        <v>Under $50K</v>
      </c>
      <c r="J449" s="9" t="str">
        <f t="shared" si="30"/>
        <v>2020s</v>
      </c>
      <c r="K449">
        <f t="shared" si="31"/>
        <v>2.7905081983908748E-2</v>
      </c>
      <c r="L449">
        <f t="shared" si="32"/>
        <v>0.26270207852193994</v>
      </c>
      <c r="M449">
        <f t="shared" si="33"/>
        <v>0.46808510638297873</v>
      </c>
      <c r="N449">
        <f t="shared" si="34"/>
        <v>0.25289742229627582</v>
      </c>
    </row>
    <row r="450" spans="1:14">
      <c r="A450" t="s">
        <v>20</v>
      </c>
      <c r="B450" t="s">
        <v>106</v>
      </c>
      <c r="C450">
        <v>2022</v>
      </c>
      <c r="D450">
        <v>5</v>
      </c>
      <c r="E450">
        <v>460</v>
      </c>
      <c r="F450">
        <v>420</v>
      </c>
      <c r="G450">
        <v>4.3</v>
      </c>
      <c r="H450" s="4">
        <v>36120</v>
      </c>
      <c r="I450" s="8" t="str" cm="1">
        <f t="array" ref="I450">_xlfn.IFS(H450&lt;50000,"Under $50K", H450&lt;100000,"$50K–$100K",
     H450&lt;200000,"$100K–$200K", H450&lt;500000,"$200K–$500K",
     H450&gt;=500000,"$500K+")</f>
        <v>Under $50K</v>
      </c>
      <c r="J450" s="9" t="str">
        <f t="shared" si="30"/>
        <v>2020s</v>
      </c>
      <c r="K450">
        <f t="shared" si="31"/>
        <v>2.8414298808432631E-2</v>
      </c>
      <c r="L450">
        <f t="shared" si="32"/>
        <v>0.24249422632794457</v>
      </c>
      <c r="M450">
        <f t="shared" si="33"/>
        <v>0.46808510638297873</v>
      </c>
      <c r="N450">
        <f t="shared" si="34"/>
        <v>0.24633121050645199</v>
      </c>
    </row>
    <row r="451" spans="1:14">
      <c r="A451" t="s">
        <v>32</v>
      </c>
      <c r="B451" t="s">
        <v>93</v>
      </c>
      <c r="C451">
        <v>2020</v>
      </c>
      <c r="D451">
        <v>3.7</v>
      </c>
      <c r="E451">
        <v>350</v>
      </c>
      <c r="F451">
        <v>276</v>
      </c>
      <c r="G451">
        <v>4.5999999999999996</v>
      </c>
      <c r="H451" s="4">
        <v>45790</v>
      </c>
      <c r="I451" s="8" t="str" cm="1">
        <f t="array" ref="I451">_xlfn.IFS(H451&lt;50000,"Under $50K", H451&lt;100000,"$50K–$100K",
     H451&lt;200000,"$100K–$200K", H451&lt;500000,"$200K–$500K",
     H451&gt;=500000,"$500K+")</f>
        <v>Under $50K</v>
      </c>
      <c r="J451" s="9" t="str">
        <f t="shared" ref="J451:J514" si="35">_xlfn.CONCAT(INT(C451/10)*10,"s")</f>
        <v>2020s</v>
      </c>
      <c r="K451">
        <f t="shared" ref="K451:K514" si="36">(E451-MIN($E$2:$E$1008))/(MAX($E$2:$E$1008)-MIN($E$2:$E$1008))</f>
        <v>1.7211528668907222E-2</v>
      </c>
      <c r="L451">
        <f t="shared" ref="L451:L514" si="37">(F451-MIN($F$2:$F$501))/(MAX($F$2:$F$501)-MIN($F$2:$F$501))</f>
        <v>0.15935334872979215</v>
      </c>
      <c r="M451">
        <f t="shared" ref="M451:M514" si="38">1-((G451-MIN($G$2:$G$501))/(MAX($G$2:$G$501)-MIN($G$2:$G$501)))</f>
        <v>0.4042553191489362</v>
      </c>
      <c r="N451">
        <f t="shared" ref="N451:N514" si="39">AVERAGE(K451,L451,M451)</f>
        <v>0.1936067321825452</v>
      </c>
    </row>
    <row r="452" spans="1:14">
      <c r="A452" t="s">
        <v>12</v>
      </c>
      <c r="B452" t="s">
        <v>107</v>
      </c>
      <c r="C452">
        <v>2022</v>
      </c>
      <c r="D452">
        <v>4</v>
      </c>
      <c r="E452">
        <v>503</v>
      </c>
      <c r="F452">
        <v>505</v>
      </c>
      <c r="G452">
        <v>3.6</v>
      </c>
      <c r="H452" s="4">
        <v>146000</v>
      </c>
      <c r="I452" s="8" t="str" cm="1">
        <f t="array" ref="I452">_xlfn.IFS(H452&lt;50000,"Under $50K", H452&lt;100000,"$50K–$100K",
     H452&lt;200000,"$100K–$200K", H452&lt;500000,"$200K–$500K",
     H452&gt;=500000,"$500K+")</f>
        <v>$100K–$200K</v>
      </c>
      <c r="J452" s="9" t="str">
        <f t="shared" si="35"/>
        <v>2020s</v>
      </c>
      <c r="K452">
        <f t="shared" si="36"/>
        <v>3.279356349933802E-2</v>
      </c>
      <c r="L452">
        <f t="shared" si="37"/>
        <v>0.29157043879907624</v>
      </c>
      <c r="M452">
        <f t="shared" si="38"/>
        <v>0.61702127659574468</v>
      </c>
      <c r="N452">
        <f t="shared" si="39"/>
        <v>0.31379509296471969</v>
      </c>
    </row>
    <row r="453" spans="1:14">
      <c r="A453" t="s">
        <v>14</v>
      </c>
      <c r="B453" t="s">
        <v>80</v>
      </c>
      <c r="C453">
        <v>2021</v>
      </c>
      <c r="D453">
        <v>4</v>
      </c>
      <c r="E453">
        <v>626</v>
      </c>
      <c r="F453">
        <v>664</v>
      </c>
      <c r="G453">
        <v>3.3</v>
      </c>
      <c r="H453" s="4">
        <v>220000</v>
      </c>
      <c r="I453" s="8" t="str" cm="1">
        <f t="array" ref="I453">_xlfn.IFS(H453&lt;50000,"Under $50K", H453&lt;100000,"$50K–$100K",
     H453&lt;200000,"$100K–$200K", H453&lt;500000,"$200K–$500K",
     H453&gt;=500000,"$500K+")</f>
        <v>$200K–$500K</v>
      </c>
      <c r="J453" s="9" t="str">
        <f t="shared" si="35"/>
        <v>2020s</v>
      </c>
      <c r="K453">
        <f t="shared" si="36"/>
        <v>4.5320297382625524E-2</v>
      </c>
      <c r="L453">
        <f t="shared" si="37"/>
        <v>0.38337182448036949</v>
      </c>
      <c r="M453">
        <f t="shared" si="38"/>
        <v>0.68085106382978733</v>
      </c>
      <c r="N453">
        <f t="shared" si="39"/>
        <v>0.36984772856426079</v>
      </c>
    </row>
    <row r="454" spans="1:14">
      <c r="A454" t="s">
        <v>36</v>
      </c>
      <c r="B454" t="s">
        <v>198</v>
      </c>
      <c r="C454">
        <v>2022</v>
      </c>
      <c r="D454">
        <v>2</v>
      </c>
      <c r="E454">
        <v>300</v>
      </c>
      <c r="F454">
        <v>280</v>
      </c>
      <c r="G454">
        <v>4.9000000000000004</v>
      </c>
      <c r="H454" s="4">
        <v>62000</v>
      </c>
      <c r="I454" s="8" t="str" cm="1">
        <f t="array" ref="I454">_xlfn.IFS(H454&lt;50000,"Under $50K", H454&lt;100000,"$50K–$100K",
     H454&lt;200000,"$100K–$200K", H454&lt;500000,"$200K–$500K",
     H454&gt;=500000,"$500K+")</f>
        <v>$50K–$100K</v>
      </c>
      <c r="J454" s="9" t="str">
        <f t="shared" si="35"/>
        <v>2020s</v>
      </c>
      <c r="K454">
        <f t="shared" si="36"/>
        <v>1.2119360423668398E-2</v>
      </c>
      <c r="L454">
        <f t="shared" si="37"/>
        <v>0.16166281755196305</v>
      </c>
      <c r="M454">
        <f t="shared" si="38"/>
        <v>0.34042553191489355</v>
      </c>
      <c r="N454">
        <f t="shared" si="39"/>
        <v>0.17140256996350833</v>
      </c>
    </row>
    <row r="455" spans="1:14">
      <c r="A455" t="s">
        <v>24</v>
      </c>
      <c r="B455" t="s">
        <v>96</v>
      </c>
      <c r="C455">
        <v>2021</v>
      </c>
      <c r="D455">
        <v>4</v>
      </c>
      <c r="E455">
        <v>641</v>
      </c>
      <c r="F455">
        <v>627</v>
      </c>
      <c r="G455">
        <v>3.6</v>
      </c>
      <c r="H455" s="4">
        <v>222004</v>
      </c>
      <c r="I455" s="8" t="str" cm="1">
        <f t="array" ref="I455">_xlfn.IFS(H455&lt;50000,"Under $50K", H455&lt;100000,"$50K–$100K",
     H455&lt;200000,"$100K–$200K", H455&lt;500000,"$200K–$500K",
     H455&gt;=500000,"$500K+")</f>
        <v>$200K–$500K</v>
      </c>
      <c r="J455" s="9" t="str">
        <f t="shared" si="35"/>
        <v>2020s</v>
      </c>
      <c r="K455">
        <f t="shared" si="36"/>
        <v>4.684794785619717E-2</v>
      </c>
      <c r="L455">
        <f t="shared" si="37"/>
        <v>0.36200923787528866</v>
      </c>
      <c r="M455">
        <f t="shared" si="38"/>
        <v>0.61702127659574468</v>
      </c>
      <c r="N455">
        <f t="shared" si="39"/>
        <v>0.34195948744241017</v>
      </c>
    </row>
    <row r="456" spans="1:14">
      <c r="A456" t="s">
        <v>19</v>
      </c>
      <c r="B456" t="s">
        <v>199</v>
      </c>
      <c r="C456">
        <v>2021</v>
      </c>
      <c r="D456">
        <v>3.9</v>
      </c>
      <c r="E456">
        <v>710</v>
      </c>
      <c r="F456">
        <v>568</v>
      </c>
      <c r="G456">
        <v>2.9</v>
      </c>
      <c r="H456" s="4">
        <v>280000</v>
      </c>
      <c r="I456" s="8" t="str" cm="1">
        <f t="array" ref="I456">_xlfn.IFS(H456&lt;50000,"Under $50K", H456&lt;100000,"$50K–$100K",
     H456&lt;200000,"$100K–$200K", H456&lt;500000,"$200K–$500K",
     H456&gt;=500000,"$500K+")</f>
        <v>$200K–$500K</v>
      </c>
      <c r="J456" s="9" t="str">
        <f t="shared" si="35"/>
        <v>2020s</v>
      </c>
      <c r="K456">
        <f t="shared" si="36"/>
        <v>5.3875140034626741E-2</v>
      </c>
      <c r="L456">
        <f t="shared" si="37"/>
        <v>0.32794457274826788</v>
      </c>
      <c r="M456">
        <f t="shared" si="38"/>
        <v>0.76595744680851063</v>
      </c>
      <c r="N456">
        <f t="shared" si="39"/>
        <v>0.3825923865304684</v>
      </c>
    </row>
    <row r="457" spans="1:14">
      <c r="A457" t="s">
        <v>13</v>
      </c>
      <c r="B457" t="s">
        <v>118</v>
      </c>
      <c r="C457">
        <v>2022</v>
      </c>
      <c r="D457">
        <v>2.5</v>
      </c>
      <c r="E457">
        <v>394</v>
      </c>
      <c r="F457">
        <v>354</v>
      </c>
      <c r="G457">
        <v>3.6</v>
      </c>
      <c r="H457" s="4">
        <v>69900</v>
      </c>
      <c r="I457" s="8" t="str" cm="1">
        <f t="array" ref="I457">_xlfn.IFS(H457&lt;50000,"Under $50K", H457&lt;100000,"$50K–$100K",
     H457&lt;200000,"$100K–$200K", H457&lt;500000,"$200K–$500K",
     H457&gt;=500000,"$500K+")</f>
        <v>$50K–$100K</v>
      </c>
      <c r="J457" s="9" t="str">
        <f t="shared" si="35"/>
        <v>2020s</v>
      </c>
      <c r="K457">
        <f t="shared" si="36"/>
        <v>2.1692636724717385E-2</v>
      </c>
      <c r="L457">
        <f t="shared" si="37"/>
        <v>0.20438799076212472</v>
      </c>
      <c r="M457">
        <f t="shared" si="38"/>
        <v>0.61702127659574468</v>
      </c>
      <c r="N457">
        <f t="shared" si="39"/>
        <v>0.28103396802752895</v>
      </c>
    </row>
    <row r="458" spans="1:14">
      <c r="A458" t="s">
        <v>29</v>
      </c>
      <c r="B458" t="s">
        <v>103</v>
      </c>
      <c r="C458">
        <v>2021</v>
      </c>
      <c r="D458">
        <v>3.8</v>
      </c>
      <c r="E458">
        <v>562</v>
      </c>
      <c r="F458">
        <v>443</v>
      </c>
      <c r="G458">
        <v>2.9</v>
      </c>
      <c r="H458" s="4">
        <v>208800</v>
      </c>
      <c r="I458" s="8" t="str" cm="1">
        <f t="array" ref="I458">_xlfn.IFS(H458&lt;50000,"Under $50K", H458&lt;100000,"$50K–$100K",
     H458&lt;200000,"$100K–$200K", H458&lt;500000,"$200K–$500K",
     H458&gt;=500000,"$500K+")</f>
        <v>$200K–$500K</v>
      </c>
      <c r="J458" s="9" t="str">
        <f t="shared" si="35"/>
        <v>2020s</v>
      </c>
      <c r="K458">
        <f t="shared" si="36"/>
        <v>3.8802322028719832E-2</v>
      </c>
      <c r="L458">
        <f t="shared" si="37"/>
        <v>0.25577367205542723</v>
      </c>
      <c r="M458">
        <f t="shared" si="38"/>
        <v>0.76595744680851063</v>
      </c>
      <c r="N458">
        <f t="shared" si="39"/>
        <v>0.3535111469642192</v>
      </c>
    </row>
    <row r="459" spans="1:14">
      <c r="A459" t="s">
        <v>15</v>
      </c>
      <c r="B459" t="s">
        <v>90</v>
      </c>
      <c r="C459">
        <v>2022</v>
      </c>
      <c r="D459">
        <v>3</v>
      </c>
      <c r="E459">
        <v>473</v>
      </c>
      <c r="F459">
        <v>406</v>
      </c>
      <c r="G459">
        <v>4</v>
      </c>
      <c r="H459" s="4">
        <v>72800</v>
      </c>
      <c r="I459" s="8" t="str" cm="1">
        <f t="array" ref="I459">_xlfn.IFS(H459&lt;50000,"Under $50K", H459&lt;100000,"$50K–$100K",
     H459&lt;200000,"$100K–$200K", H459&lt;500000,"$200K–$500K",
     H459&gt;=500000,"$500K+")</f>
        <v>$50K–$100K</v>
      </c>
      <c r="J459" s="9" t="str">
        <f t="shared" si="35"/>
        <v>2020s</v>
      </c>
      <c r="K459">
        <f t="shared" si="36"/>
        <v>2.9738262552194725E-2</v>
      </c>
      <c r="L459">
        <f t="shared" si="37"/>
        <v>0.23441108545034642</v>
      </c>
      <c r="M459">
        <f t="shared" si="38"/>
        <v>0.53191489361702127</v>
      </c>
      <c r="N459">
        <f t="shared" si="39"/>
        <v>0.2653547472065208</v>
      </c>
    </row>
    <row r="460" spans="1:14">
      <c r="A460" t="s">
        <v>36</v>
      </c>
      <c r="B460" t="s">
        <v>122</v>
      </c>
      <c r="C460">
        <v>2022</v>
      </c>
      <c r="D460">
        <v>2</v>
      </c>
      <c r="E460">
        <v>300</v>
      </c>
      <c r="F460">
        <v>280</v>
      </c>
      <c r="G460">
        <v>4.9000000000000004</v>
      </c>
      <c r="H460" s="4">
        <v>60500</v>
      </c>
      <c r="I460" s="8" t="str" cm="1">
        <f t="array" ref="I460">_xlfn.IFS(H460&lt;50000,"Under $50K", H460&lt;100000,"$50K–$100K",
     H460&lt;200000,"$100K–$200K", H460&lt;500000,"$200K–$500K",
     H460&gt;=500000,"$500K+")</f>
        <v>$50K–$100K</v>
      </c>
      <c r="J460" s="9" t="str">
        <f t="shared" si="35"/>
        <v>2020s</v>
      </c>
      <c r="K460">
        <f t="shared" si="36"/>
        <v>1.2119360423668398E-2</v>
      </c>
      <c r="L460">
        <f t="shared" si="37"/>
        <v>0.16166281755196305</v>
      </c>
      <c r="M460">
        <f t="shared" si="38"/>
        <v>0.34042553191489355</v>
      </c>
      <c r="N460">
        <f t="shared" si="39"/>
        <v>0.17140256996350833</v>
      </c>
    </row>
    <row r="461" spans="1:14">
      <c r="A461" t="s">
        <v>24</v>
      </c>
      <c r="B461" t="s">
        <v>115</v>
      </c>
      <c r="C461">
        <v>2021</v>
      </c>
      <c r="D461">
        <v>6.5</v>
      </c>
      <c r="E461">
        <v>730</v>
      </c>
      <c r="F461">
        <v>509</v>
      </c>
      <c r="G461">
        <v>2.9</v>
      </c>
      <c r="H461" s="4">
        <v>393695</v>
      </c>
      <c r="I461" s="8" t="str" cm="1">
        <f t="array" ref="I461">_xlfn.IFS(H461&lt;50000,"Under $50K", H461&lt;100000,"$50K–$100K",
     H461&lt;200000,"$100K–$200K", H461&lt;500000,"$200K–$500K",
     H461&gt;=500000,"$500K+")</f>
        <v>$200K–$500K</v>
      </c>
      <c r="J461" s="9" t="str">
        <f t="shared" si="35"/>
        <v>2020s</v>
      </c>
      <c r="K461">
        <f t="shared" si="36"/>
        <v>5.5912007332722273E-2</v>
      </c>
      <c r="L461">
        <f t="shared" si="37"/>
        <v>0.29387990762124711</v>
      </c>
      <c r="M461">
        <f t="shared" si="38"/>
        <v>0.76595744680851063</v>
      </c>
      <c r="N461">
        <f t="shared" si="39"/>
        <v>0.37191645392082667</v>
      </c>
    </row>
    <row r="462" spans="1:14">
      <c r="A462" t="s">
        <v>19</v>
      </c>
      <c r="B462" t="s">
        <v>88</v>
      </c>
      <c r="C462">
        <v>2022</v>
      </c>
      <c r="D462">
        <v>4</v>
      </c>
      <c r="E462">
        <v>986</v>
      </c>
      <c r="F462">
        <v>590</v>
      </c>
      <c r="G462">
        <v>2.5</v>
      </c>
      <c r="H462" s="4">
        <v>625000</v>
      </c>
      <c r="I462" s="8" t="str" cm="1">
        <f t="array" ref="I462">_xlfn.IFS(H462&lt;50000,"Under $50K", H462&lt;100000,"$50K–$100K",
     H462&lt;200000,"$100K–$200K", H462&lt;500000,"$200K–$500K",
     H462&gt;=500000,"$500K+")</f>
        <v>$500K+</v>
      </c>
      <c r="J462" s="9" t="str">
        <f t="shared" si="35"/>
        <v>2020s</v>
      </c>
      <c r="K462">
        <f t="shared" si="36"/>
        <v>8.1983908748345047E-2</v>
      </c>
      <c r="L462">
        <f t="shared" si="37"/>
        <v>0.34064665127020788</v>
      </c>
      <c r="M462">
        <f t="shared" si="38"/>
        <v>0.85106382978723405</v>
      </c>
      <c r="N462">
        <f t="shared" si="39"/>
        <v>0.42456479660192903</v>
      </c>
    </row>
    <row r="463" spans="1:14">
      <c r="A463" t="s">
        <v>13</v>
      </c>
      <c r="B463" t="s">
        <v>112</v>
      </c>
      <c r="C463">
        <v>2022</v>
      </c>
      <c r="D463">
        <v>2.9</v>
      </c>
      <c r="E463">
        <v>444</v>
      </c>
      <c r="F463">
        <v>443</v>
      </c>
      <c r="G463">
        <v>3.7</v>
      </c>
      <c r="H463" s="4">
        <v>75100</v>
      </c>
      <c r="I463" s="8" t="str" cm="1">
        <f t="array" ref="I463">_xlfn.IFS(H463&lt;50000,"Under $50K", H463&lt;100000,"$50K–$100K",
     H463&lt;200000,"$100K–$200K", H463&lt;500000,"$200K–$500K",
     H463&gt;=500000,"$500K+")</f>
        <v>$50K–$100K</v>
      </c>
      <c r="J463" s="9" t="str">
        <f t="shared" si="35"/>
        <v>2020s</v>
      </c>
      <c r="K463">
        <f t="shared" si="36"/>
        <v>2.6784804969956208E-2</v>
      </c>
      <c r="L463">
        <f t="shared" si="37"/>
        <v>0.25577367205542723</v>
      </c>
      <c r="M463">
        <f t="shared" si="38"/>
        <v>0.5957446808510638</v>
      </c>
      <c r="N463">
        <f t="shared" si="39"/>
        <v>0.29276771929214912</v>
      </c>
    </row>
    <row r="464" spans="1:14">
      <c r="A464" t="s">
        <v>29</v>
      </c>
      <c r="B464" t="s">
        <v>92</v>
      </c>
      <c r="C464">
        <v>2021</v>
      </c>
      <c r="D464">
        <v>4</v>
      </c>
      <c r="E464">
        <v>612</v>
      </c>
      <c r="F464">
        <v>465</v>
      </c>
      <c r="G464">
        <v>3.2</v>
      </c>
      <c r="H464" s="4">
        <v>208800</v>
      </c>
      <c r="I464" s="8" t="str" cm="1">
        <f t="array" ref="I464">_xlfn.IFS(H464&lt;50000,"Under $50K", H464&lt;100000,"$50K–$100K",
     H464&lt;200000,"$100K–$200K", H464&lt;500000,"$200K–$500K",
     H464&gt;=500000,"$500K+")</f>
        <v>$200K–$500K</v>
      </c>
      <c r="J464" s="9" t="str">
        <f t="shared" si="35"/>
        <v>2020s</v>
      </c>
      <c r="K464">
        <f t="shared" si="36"/>
        <v>4.3894490273958649E-2</v>
      </c>
      <c r="L464">
        <f t="shared" si="37"/>
        <v>0.26847575057736722</v>
      </c>
      <c r="M464">
        <f t="shared" si="38"/>
        <v>0.7021276595744681</v>
      </c>
      <c r="N464">
        <f t="shared" si="39"/>
        <v>0.33816596680859795</v>
      </c>
    </row>
    <row r="465" spans="1:14">
      <c r="A465" t="s">
        <v>15</v>
      </c>
      <c r="B465" t="s">
        <v>113</v>
      </c>
      <c r="C465">
        <v>2022</v>
      </c>
      <c r="D465">
        <v>3</v>
      </c>
      <c r="E465">
        <v>405</v>
      </c>
      <c r="F465">
        <v>406</v>
      </c>
      <c r="G465">
        <v>4</v>
      </c>
      <c r="H465" s="4">
        <v>58900</v>
      </c>
      <c r="I465" s="8" t="str" cm="1">
        <f t="array" ref="I465">_xlfn.IFS(H465&lt;50000,"Under $50K", H465&lt;100000,"$50K–$100K",
     H465&lt;200000,"$100K–$200K", H465&lt;500000,"$200K–$500K",
     H465&gt;=500000,"$500K+")</f>
        <v>$50K–$100K</v>
      </c>
      <c r="J465" s="9" t="str">
        <f t="shared" si="35"/>
        <v>2020s</v>
      </c>
      <c r="K465">
        <f t="shared" si="36"/>
        <v>2.2812913738669924E-2</v>
      </c>
      <c r="L465">
        <f t="shared" si="37"/>
        <v>0.23441108545034642</v>
      </c>
      <c r="M465">
        <f t="shared" si="38"/>
        <v>0.53191489361702127</v>
      </c>
      <c r="N465">
        <f t="shared" si="39"/>
        <v>0.26304629760201254</v>
      </c>
    </row>
    <row r="466" spans="1:14">
      <c r="A466" t="s">
        <v>31</v>
      </c>
      <c r="B466" t="s">
        <v>82</v>
      </c>
      <c r="C466">
        <v>2015</v>
      </c>
      <c r="D466">
        <v>6.2</v>
      </c>
      <c r="E466">
        <v>622</v>
      </c>
      <c r="F466">
        <v>468</v>
      </c>
      <c r="G466">
        <v>3.6</v>
      </c>
      <c r="H466" s="4">
        <v>229000</v>
      </c>
      <c r="I466" s="8" t="str" cm="1">
        <f t="array" ref="I466">_xlfn.IFS(H466&lt;50000,"Under $50K", H466&lt;100000,"$50K–$100K",
     H466&lt;200000,"$100K–$200K", H466&lt;500000,"$200K–$500K",
     H466&gt;=500000,"$500K+")</f>
        <v>$200K–$500K</v>
      </c>
      <c r="J466" s="9" t="str">
        <f t="shared" si="35"/>
        <v>2010s</v>
      </c>
      <c r="K466">
        <f t="shared" si="36"/>
        <v>4.4912923923006415E-2</v>
      </c>
      <c r="L466">
        <f t="shared" si="37"/>
        <v>0.2702078521939954</v>
      </c>
      <c r="M466">
        <f t="shared" si="38"/>
        <v>0.61702127659574468</v>
      </c>
      <c r="N466">
        <f t="shared" si="39"/>
        <v>0.31071401757091549</v>
      </c>
    </row>
    <row r="467" spans="1:14">
      <c r="A467" t="s">
        <v>17</v>
      </c>
      <c r="B467" t="s">
        <v>91</v>
      </c>
      <c r="C467">
        <v>2021</v>
      </c>
      <c r="D467">
        <v>6.2</v>
      </c>
      <c r="E467">
        <v>650</v>
      </c>
      <c r="F467">
        <v>650</v>
      </c>
      <c r="G467">
        <v>3.5</v>
      </c>
      <c r="H467" s="4">
        <v>62000</v>
      </c>
      <c r="I467" s="8" t="str" cm="1">
        <f t="array" ref="I467">_xlfn.IFS(H467&lt;50000,"Under $50K", H467&lt;100000,"$50K–$100K",
     H467&lt;200000,"$100K–$200K", H467&lt;500000,"$200K–$500K",
     H467&gt;=500000,"$500K+")</f>
        <v>$50K–$100K</v>
      </c>
      <c r="J467" s="9" t="str">
        <f t="shared" si="35"/>
        <v>2020s</v>
      </c>
      <c r="K467">
        <f t="shared" si="36"/>
        <v>4.7764538140340158E-2</v>
      </c>
      <c r="L467">
        <f t="shared" si="37"/>
        <v>0.37528868360277134</v>
      </c>
      <c r="M467">
        <f t="shared" si="38"/>
        <v>0.63829787234042556</v>
      </c>
      <c r="N467">
        <f t="shared" si="39"/>
        <v>0.35378369802784571</v>
      </c>
    </row>
    <row r="468" spans="1:14">
      <c r="A468" t="s">
        <v>20</v>
      </c>
      <c r="B468" t="s">
        <v>92</v>
      </c>
      <c r="C468">
        <v>2022</v>
      </c>
      <c r="D468">
        <v>3.5</v>
      </c>
      <c r="E468">
        <v>660</v>
      </c>
      <c r="F468">
        <v>550</v>
      </c>
      <c r="G468">
        <v>3</v>
      </c>
      <c r="H468" s="4">
        <v>500000</v>
      </c>
      <c r="I468" s="8" t="str" cm="1">
        <f t="array" ref="I468">_xlfn.IFS(H468&lt;50000,"Under $50K", H468&lt;100000,"$50K–$100K",
     H468&lt;200000,"$100K–$200K", H468&lt;500000,"$200K–$500K",
     H468&gt;=500000,"$500K+")</f>
        <v>$500K+</v>
      </c>
      <c r="J468" s="9" t="str">
        <f t="shared" si="35"/>
        <v>2020s</v>
      </c>
      <c r="K468">
        <f t="shared" si="36"/>
        <v>4.8782971789387924E-2</v>
      </c>
      <c r="L468">
        <f t="shared" si="37"/>
        <v>0.31755196304849886</v>
      </c>
      <c r="M468">
        <f t="shared" si="38"/>
        <v>0.74468085106382986</v>
      </c>
      <c r="N468">
        <f t="shared" si="39"/>
        <v>0.37033859530057223</v>
      </c>
    </row>
    <row r="469" spans="1:14">
      <c r="A469" t="s">
        <v>32</v>
      </c>
      <c r="B469" t="s">
        <v>93</v>
      </c>
      <c r="C469">
        <v>2020</v>
      </c>
      <c r="D469">
        <v>3.7</v>
      </c>
      <c r="E469">
        <v>350</v>
      </c>
      <c r="F469">
        <v>276</v>
      </c>
      <c r="G469">
        <v>5.2</v>
      </c>
      <c r="H469" s="4">
        <v>46200</v>
      </c>
      <c r="I469" s="8" t="str" cm="1">
        <f t="array" ref="I469">_xlfn.IFS(H469&lt;50000,"Under $50K", H469&lt;100000,"$50K–$100K",
     H469&lt;200000,"$100K–$200K", H469&lt;500000,"$200K–$500K",
     H469&gt;=500000,"$500K+")</f>
        <v>Under $50K</v>
      </c>
      <c r="J469" s="9" t="str">
        <f t="shared" si="35"/>
        <v>2020s</v>
      </c>
      <c r="K469">
        <f t="shared" si="36"/>
        <v>1.7211528668907222E-2</v>
      </c>
      <c r="L469">
        <f t="shared" si="37"/>
        <v>0.15935334872979215</v>
      </c>
      <c r="M469">
        <f t="shared" si="38"/>
        <v>0.27659574468085102</v>
      </c>
      <c r="N469">
        <f t="shared" si="39"/>
        <v>0.15105354069318347</v>
      </c>
    </row>
    <row r="470" spans="1:14">
      <c r="A470" t="s">
        <v>18</v>
      </c>
      <c r="B470" t="s">
        <v>71</v>
      </c>
      <c r="C470">
        <v>2021</v>
      </c>
      <c r="D470">
        <v>6.2</v>
      </c>
      <c r="E470">
        <v>717</v>
      </c>
      <c r="F470">
        <v>656</v>
      </c>
      <c r="G470">
        <v>3.6</v>
      </c>
      <c r="H470" s="4">
        <v>71000</v>
      </c>
      <c r="I470" s="8" t="str" cm="1">
        <f t="array" ref="I470">_xlfn.IFS(H470&lt;50000,"Under $50K", H470&lt;100000,"$50K–$100K",
     H470&lt;200000,"$100K–$200K", H470&lt;500000,"$200K–$500K",
     H470&gt;=500000,"$500K+")</f>
        <v>$50K–$100K</v>
      </c>
      <c r="J470" s="9" t="str">
        <f t="shared" si="35"/>
        <v>2020s</v>
      </c>
      <c r="K470">
        <f t="shared" si="36"/>
        <v>5.4588043588960182E-2</v>
      </c>
      <c r="L470">
        <f t="shared" si="37"/>
        <v>0.3787528868360277</v>
      </c>
      <c r="M470">
        <f t="shared" si="38"/>
        <v>0.61702127659574468</v>
      </c>
      <c r="N470">
        <f t="shared" si="39"/>
        <v>0.35012073567357754</v>
      </c>
    </row>
    <row r="471" spans="1:14">
      <c r="A471" t="s">
        <v>12</v>
      </c>
      <c r="B471" t="s">
        <v>132</v>
      </c>
      <c r="C471">
        <v>2021</v>
      </c>
      <c r="D471">
        <v>5.2</v>
      </c>
      <c r="E471">
        <v>715</v>
      </c>
      <c r="F471">
        <v>663</v>
      </c>
      <c r="G471">
        <v>3.2</v>
      </c>
      <c r="H471" s="4">
        <v>308000</v>
      </c>
      <c r="I471" s="8" t="str" cm="1">
        <f t="array" ref="I471">_xlfn.IFS(H471&lt;50000,"Under $50K", H471&lt;100000,"$50K–$100K",
     H471&lt;200000,"$100K–$200K", H471&lt;500000,"$200K–$500K",
     H471&gt;=500000,"$500K+")</f>
        <v>$200K–$500K</v>
      </c>
      <c r="J471" s="9" t="str">
        <f t="shared" si="35"/>
        <v>2020s</v>
      </c>
      <c r="K471">
        <f t="shared" si="36"/>
        <v>5.4384356859150627E-2</v>
      </c>
      <c r="L471">
        <f t="shared" si="37"/>
        <v>0.3827944572748268</v>
      </c>
      <c r="M471">
        <f t="shared" si="38"/>
        <v>0.7021276595744681</v>
      </c>
      <c r="N471">
        <f t="shared" si="39"/>
        <v>0.37976882456948186</v>
      </c>
    </row>
    <row r="472" spans="1:14">
      <c r="A472" t="s">
        <v>9</v>
      </c>
      <c r="B472" t="s">
        <v>78</v>
      </c>
      <c r="C472">
        <v>2022</v>
      </c>
      <c r="D472">
        <v>2.9</v>
      </c>
      <c r="E472">
        <v>505</v>
      </c>
      <c r="F472">
        <v>443</v>
      </c>
      <c r="G472">
        <v>3.8</v>
      </c>
      <c r="H472" s="4">
        <v>80500</v>
      </c>
      <c r="I472" s="8" t="str" cm="1">
        <f t="array" ref="I472">_xlfn.IFS(H472&lt;50000,"Under $50K", H472&lt;100000,"$50K–$100K",
     H472&lt;200000,"$100K–$200K", H472&lt;500000,"$200K–$500K",
     H472&gt;=500000,"$500K+")</f>
        <v>$50K–$100K</v>
      </c>
      <c r="J472" s="9" t="str">
        <f t="shared" si="35"/>
        <v>2020s</v>
      </c>
      <c r="K472">
        <f t="shared" si="36"/>
        <v>3.2997250229147568E-2</v>
      </c>
      <c r="L472">
        <f t="shared" si="37"/>
        <v>0.25577367205542723</v>
      </c>
      <c r="M472">
        <f t="shared" si="38"/>
        <v>0.57446808510638303</v>
      </c>
      <c r="N472">
        <f t="shared" si="39"/>
        <v>0.28774633579698594</v>
      </c>
    </row>
    <row r="473" spans="1:14">
      <c r="A473" t="s">
        <v>21</v>
      </c>
      <c r="B473" t="s">
        <v>160</v>
      </c>
      <c r="C473">
        <v>2021</v>
      </c>
      <c r="D473">
        <v>5</v>
      </c>
      <c r="E473">
        <v>575</v>
      </c>
      <c r="F473">
        <v>516</v>
      </c>
      <c r="G473">
        <v>3.5</v>
      </c>
      <c r="H473" s="4">
        <v>105900</v>
      </c>
      <c r="I473" s="8" t="str" cm="1">
        <f t="array" ref="I473">_xlfn.IFS(H473&lt;50000,"Under $50K", H473&lt;100000,"$50K–$100K",
     H473&lt;200000,"$100K–$200K", H473&lt;500000,"$200K–$500K",
     H473&gt;=500000,"$500K+")</f>
        <v>$100K–$200K</v>
      </c>
      <c r="J473" s="9" t="str">
        <f t="shared" si="35"/>
        <v>2020s</v>
      </c>
      <c r="K473">
        <f t="shared" si="36"/>
        <v>4.0126285772481923E-2</v>
      </c>
      <c r="L473">
        <f t="shared" si="37"/>
        <v>0.29792147806004621</v>
      </c>
      <c r="M473">
        <f t="shared" si="38"/>
        <v>0.63829787234042556</v>
      </c>
      <c r="N473">
        <f t="shared" si="39"/>
        <v>0.32544854539098456</v>
      </c>
    </row>
    <row r="474" spans="1:14">
      <c r="A474" t="s">
        <v>26</v>
      </c>
      <c r="B474" t="s">
        <v>75</v>
      </c>
      <c r="C474">
        <v>2020</v>
      </c>
      <c r="D474">
        <v>3.5</v>
      </c>
      <c r="E474">
        <v>416</v>
      </c>
      <c r="F474">
        <v>317</v>
      </c>
      <c r="G474">
        <v>3.8</v>
      </c>
      <c r="H474" s="4">
        <v>96950</v>
      </c>
      <c r="I474" s="8" t="str" cm="1">
        <f t="array" ref="I474">_xlfn.IFS(H474&lt;50000,"Under $50K", H474&lt;100000,"$50K–$100K",
     H474&lt;200000,"$100K–$200K", H474&lt;500000,"$200K–$500K",
     H474&gt;=500000,"$500K+")</f>
        <v>$50K–$100K</v>
      </c>
      <c r="J474" s="9" t="str">
        <f t="shared" si="35"/>
        <v>2020s</v>
      </c>
      <c r="K474">
        <f t="shared" si="36"/>
        <v>2.3933190752622468E-2</v>
      </c>
      <c r="L474">
        <f t="shared" si="37"/>
        <v>0.18302540415704388</v>
      </c>
      <c r="M474">
        <f t="shared" si="38"/>
        <v>0.57446808510638303</v>
      </c>
      <c r="N474">
        <f t="shared" si="39"/>
        <v>0.26047556000534983</v>
      </c>
    </row>
    <row r="475" spans="1:14">
      <c r="A475" t="s">
        <v>27</v>
      </c>
      <c r="B475" t="s">
        <v>76</v>
      </c>
      <c r="C475">
        <v>2019</v>
      </c>
      <c r="D475">
        <v>4.7</v>
      </c>
      <c r="E475">
        <v>454</v>
      </c>
      <c r="F475">
        <v>384</v>
      </c>
      <c r="G475">
        <v>4.7</v>
      </c>
      <c r="H475" s="4">
        <v>150980</v>
      </c>
      <c r="I475" s="8" t="str" cm="1">
        <f t="array" ref="I475">_xlfn.IFS(H475&lt;50000,"Under $50K", H475&lt;100000,"$50K–$100K",
     H475&lt;200000,"$100K–$200K", H475&lt;500000,"$200K–$500K",
     H475&gt;=500000,"$500K+")</f>
        <v>$100K–$200K</v>
      </c>
      <c r="J475" s="9" t="str">
        <f t="shared" si="35"/>
        <v>2010s</v>
      </c>
      <c r="K475">
        <f t="shared" si="36"/>
        <v>2.7803238619003971E-2</v>
      </c>
      <c r="L475">
        <f t="shared" si="37"/>
        <v>0.22170900692840648</v>
      </c>
      <c r="M475">
        <f t="shared" si="38"/>
        <v>0.38297872340425532</v>
      </c>
      <c r="N475">
        <f t="shared" si="39"/>
        <v>0.2108303229838886</v>
      </c>
    </row>
    <row r="476" spans="1:14">
      <c r="A476" t="s">
        <v>36</v>
      </c>
      <c r="B476" t="s">
        <v>135</v>
      </c>
      <c r="C476">
        <v>2022</v>
      </c>
      <c r="D476">
        <v>4</v>
      </c>
      <c r="E476">
        <v>630</v>
      </c>
      <c r="F476">
        <v>604</v>
      </c>
      <c r="G476">
        <v>2.9</v>
      </c>
      <c r="H476" s="4">
        <v>180800</v>
      </c>
      <c r="I476" s="8" t="str" cm="1">
        <f t="array" ref="I476">_xlfn.IFS(H476&lt;50000,"Under $50K", H476&lt;100000,"$50K–$100K",
     H476&lt;200000,"$100K–$200K", H476&lt;500000,"$200K–$500K",
     H476&gt;=500000,"$500K+")</f>
        <v>$100K–$200K</v>
      </c>
      <c r="J476" s="9" t="str">
        <f t="shared" si="35"/>
        <v>2020s</v>
      </c>
      <c r="K476">
        <f t="shared" si="36"/>
        <v>4.5727670842244626E-2</v>
      </c>
      <c r="L476">
        <f t="shared" si="37"/>
        <v>0.34872979214780603</v>
      </c>
      <c r="M476">
        <f t="shared" si="38"/>
        <v>0.76595744680851063</v>
      </c>
      <c r="N476">
        <f t="shared" si="39"/>
        <v>0.38680496993285374</v>
      </c>
    </row>
    <row r="477" spans="1:14">
      <c r="A477" t="s">
        <v>24</v>
      </c>
      <c r="B477" t="s">
        <v>96</v>
      </c>
      <c r="C477">
        <v>2021</v>
      </c>
      <c r="D477">
        <v>4</v>
      </c>
      <c r="E477">
        <v>641</v>
      </c>
      <c r="F477">
        <v>627</v>
      </c>
      <c r="G477">
        <v>3.2</v>
      </c>
      <c r="H477" s="4">
        <v>218000</v>
      </c>
      <c r="I477" s="8" t="str" cm="1">
        <f t="array" ref="I477">_xlfn.IFS(H477&lt;50000,"Under $50K", H477&lt;100000,"$50K–$100K",
     H477&lt;200000,"$100K–$200K", H477&lt;500000,"$200K–$500K",
     H477&gt;=500000,"$500K+")</f>
        <v>$200K–$500K</v>
      </c>
      <c r="J477" s="9" t="str">
        <f t="shared" si="35"/>
        <v>2020s</v>
      </c>
      <c r="K477">
        <f t="shared" si="36"/>
        <v>4.684794785619717E-2</v>
      </c>
      <c r="L477">
        <f t="shared" si="37"/>
        <v>0.36200923787528866</v>
      </c>
      <c r="M477">
        <f t="shared" si="38"/>
        <v>0.7021276595744681</v>
      </c>
      <c r="N477">
        <f t="shared" si="39"/>
        <v>0.37032828176865129</v>
      </c>
    </row>
    <row r="478" spans="1:14">
      <c r="A478" t="s">
        <v>12</v>
      </c>
      <c r="B478" t="s">
        <v>107</v>
      </c>
      <c r="C478">
        <v>2021</v>
      </c>
      <c r="D478">
        <v>4</v>
      </c>
      <c r="E478">
        <v>503</v>
      </c>
      <c r="F478">
        <v>505</v>
      </c>
      <c r="G478">
        <v>3.5</v>
      </c>
      <c r="H478" s="4">
        <v>146000</v>
      </c>
      <c r="I478" s="8" t="str" cm="1">
        <f t="array" ref="I478">_xlfn.IFS(H478&lt;50000,"Under $50K", H478&lt;100000,"$50K–$100K",
     H478&lt;200000,"$100K–$200K", H478&lt;500000,"$200K–$500K",
     H478&gt;=500000,"$500K+")</f>
        <v>$100K–$200K</v>
      </c>
      <c r="J478" s="9" t="str">
        <f t="shared" si="35"/>
        <v>2020s</v>
      </c>
      <c r="K478">
        <f t="shared" si="36"/>
        <v>3.279356349933802E-2</v>
      </c>
      <c r="L478">
        <f t="shared" si="37"/>
        <v>0.29157043879907624</v>
      </c>
      <c r="M478">
        <f t="shared" si="38"/>
        <v>0.63829787234042556</v>
      </c>
      <c r="N478">
        <f t="shared" si="39"/>
        <v>0.32088729154627993</v>
      </c>
    </row>
    <row r="479" spans="1:14">
      <c r="A479" t="s">
        <v>26</v>
      </c>
      <c r="B479" t="s">
        <v>173</v>
      </c>
      <c r="C479">
        <v>2021</v>
      </c>
      <c r="D479">
        <v>3.5</v>
      </c>
      <c r="E479">
        <v>416</v>
      </c>
      <c r="F479">
        <v>317</v>
      </c>
      <c r="G479">
        <v>3.8</v>
      </c>
      <c r="H479" s="4">
        <v>94000</v>
      </c>
      <c r="I479" s="8" t="str" cm="1">
        <f t="array" ref="I479">_xlfn.IFS(H479&lt;50000,"Under $50K", H479&lt;100000,"$50K–$100K",
     H479&lt;200000,"$100K–$200K", H479&lt;500000,"$200K–$500K",
     H479&gt;=500000,"$500K+")</f>
        <v>$50K–$100K</v>
      </c>
      <c r="J479" s="9" t="str">
        <f t="shared" si="35"/>
        <v>2020s</v>
      </c>
      <c r="K479">
        <f t="shared" si="36"/>
        <v>2.3933190752622468E-2</v>
      </c>
      <c r="L479">
        <f t="shared" si="37"/>
        <v>0.18302540415704388</v>
      </c>
      <c r="M479">
        <f t="shared" si="38"/>
        <v>0.57446808510638303</v>
      </c>
      <c r="N479">
        <f t="shared" si="39"/>
        <v>0.26047556000534983</v>
      </c>
    </row>
    <row r="480" spans="1:14">
      <c r="A480" t="s">
        <v>9</v>
      </c>
      <c r="B480" t="s">
        <v>200</v>
      </c>
      <c r="C480">
        <v>2020</v>
      </c>
      <c r="D480">
        <v>1.7</v>
      </c>
      <c r="E480">
        <v>237</v>
      </c>
      <c r="F480">
        <v>258</v>
      </c>
      <c r="G480">
        <v>4.0999999999999996</v>
      </c>
      <c r="H480" s="4">
        <v>67150</v>
      </c>
      <c r="I480" s="8" t="str" cm="1">
        <f t="array" ref="I480">_xlfn.IFS(H480&lt;50000,"Under $50K", H480&lt;100000,"$50K–$100K",
     H480&lt;200000,"$100K–$200K", H480&lt;500000,"$200K–$500K",
     H480&gt;=500000,"$500K+")</f>
        <v>$50K–$100K</v>
      </c>
      <c r="J480" s="9" t="str">
        <f t="shared" si="35"/>
        <v>2020s</v>
      </c>
      <c r="K480">
        <f t="shared" si="36"/>
        <v>5.7032284346674811E-3</v>
      </c>
      <c r="L480">
        <f t="shared" si="37"/>
        <v>0.1489607390300231</v>
      </c>
      <c r="M480">
        <f t="shared" si="38"/>
        <v>0.5106382978723405</v>
      </c>
      <c r="N480">
        <f t="shared" si="39"/>
        <v>0.22176742177901035</v>
      </c>
    </row>
    <row r="481" spans="1:14">
      <c r="A481" t="s">
        <v>21</v>
      </c>
      <c r="B481" t="s">
        <v>72</v>
      </c>
      <c r="C481">
        <v>2022</v>
      </c>
      <c r="D481">
        <v>3</v>
      </c>
      <c r="E481">
        <v>380</v>
      </c>
      <c r="F481">
        <v>339</v>
      </c>
      <c r="G481">
        <v>4.9000000000000004</v>
      </c>
      <c r="H481" s="4">
        <v>70900</v>
      </c>
      <c r="I481" s="8" t="str" cm="1">
        <f t="array" ref="I481">_xlfn.IFS(H481&lt;50000,"Under $50K", H481&lt;100000,"$50K–$100K",
     H481&lt;200000,"$100K–$200K", H481&lt;500000,"$200K–$500K",
     H481&gt;=500000,"$500K+")</f>
        <v>$50K–$100K</v>
      </c>
      <c r="J481" s="9" t="str">
        <f t="shared" si="35"/>
        <v>2020s</v>
      </c>
      <c r="K481">
        <f t="shared" si="36"/>
        <v>2.0266829616050513E-2</v>
      </c>
      <c r="L481">
        <f t="shared" si="37"/>
        <v>0.19572748267898382</v>
      </c>
      <c r="M481">
        <f t="shared" si="38"/>
        <v>0.34042553191489355</v>
      </c>
      <c r="N481">
        <f t="shared" si="39"/>
        <v>0.18547328140330929</v>
      </c>
    </row>
    <row r="482" spans="1:14">
      <c r="A482" t="s">
        <v>27</v>
      </c>
      <c r="B482" t="s">
        <v>76</v>
      </c>
      <c r="C482">
        <v>2021</v>
      </c>
      <c r="D482">
        <v>4.7</v>
      </c>
      <c r="E482">
        <v>454</v>
      </c>
      <c r="F482">
        <v>384</v>
      </c>
      <c r="G482">
        <v>4.7</v>
      </c>
      <c r="H482" s="4">
        <v>134300</v>
      </c>
      <c r="I482" s="8" t="str" cm="1">
        <f t="array" ref="I482">_xlfn.IFS(H482&lt;50000,"Under $50K", H482&lt;100000,"$50K–$100K",
     H482&lt;200000,"$100K–$200K", H482&lt;500000,"$200K–$500K",
     H482&gt;=500000,"$500K+")</f>
        <v>$100K–$200K</v>
      </c>
      <c r="J482" s="9" t="str">
        <f t="shared" si="35"/>
        <v>2020s</v>
      </c>
      <c r="K482">
        <f t="shared" si="36"/>
        <v>2.7803238619003971E-2</v>
      </c>
      <c r="L482">
        <f t="shared" si="37"/>
        <v>0.22170900692840648</v>
      </c>
      <c r="M482">
        <f t="shared" si="38"/>
        <v>0.38297872340425532</v>
      </c>
      <c r="N482">
        <f t="shared" si="39"/>
        <v>0.2108303229838886</v>
      </c>
    </row>
    <row r="483" spans="1:14">
      <c r="A483" t="s">
        <v>36</v>
      </c>
      <c r="B483" t="s">
        <v>86</v>
      </c>
      <c r="C483">
        <v>2021</v>
      </c>
      <c r="D483">
        <v>4</v>
      </c>
      <c r="E483">
        <v>414</v>
      </c>
      <c r="F483">
        <v>309</v>
      </c>
      <c r="G483">
        <v>4.2</v>
      </c>
      <c r="H483" s="4">
        <v>100200</v>
      </c>
      <c r="I483" s="8" t="str" cm="1">
        <f t="array" ref="I483">_xlfn.IFS(H483&lt;50000,"Under $50K", H483&lt;100000,"$50K–$100K",
     H483&lt;200000,"$100K–$200K", H483&lt;500000,"$200K–$500K",
     H483&gt;=500000,"$500K+")</f>
        <v>$100K–$200K</v>
      </c>
      <c r="J483" s="9" t="str">
        <f t="shared" si="35"/>
        <v>2020s</v>
      </c>
      <c r="K483">
        <f t="shared" si="36"/>
        <v>2.3729504022812913E-2</v>
      </c>
      <c r="L483">
        <f t="shared" si="37"/>
        <v>0.17840646651270209</v>
      </c>
      <c r="M483">
        <f t="shared" si="38"/>
        <v>0.4893617021276595</v>
      </c>
      <c r="N483">
        <f t="shared" si="39"/>
        <v>0.23049922422105817</v>
      </c>
    </row>
    <row r="484" spans="1:14">
      <c r="A484" t="s">
        <v>13</v>
      </c>
      <c r="B484" t="s">
        <v>201</v>
      </c>
      <c r="C484">
        <v>2022</v>
      </c>
      <c r="D484">
        <v>2.9</v>
      </c>
      <c r="E484">
        <v>444</v>
      </c>
      <c r="F484">
        <v>443</v>
      </c>
      <c r="G484">
        <v>3.7</v>
      </c>
      <c r="H484" s="4">
        <v>76450</v>
      </c>
      <c r="I484" s="8" t="str" cm="1">
        <f t="array" ref="I484">_xlfn.IFS(H484&lt;50000,"Under $50K", H484&lt;100000,"$50K–$100K",
     H484&lt;200000,"$100K–$200K", H484&lt;500000,"$200K–$500K",
     H484&gt;=500000,"$500K+")</f>
        <v>$50K–$100K</v>
      </c>
      <c r="J484" s="9" t="str">
        <f t="shared" si="35"/>
        <v>2020s</v>
      </c>
      <c r="K484">
        <f t="shared" si="36"/>
        <v>2.6784804969956208E-2</v>
      </c>
      <c r="L484">
        <f t="shared" si="37"/>
        <v>0.25577367205542723</v>
      </c>
      <c r="M484">
        <f t="shared" si="38"/>
        <v>0.5957446808510638</v>
      </c>
      <c r="N484">
        <f t="shared" si="39"/>
        <v>0.29276771929214912</v>
      </c>
    </row>
    <row r="485" spans="1:14">
      <c r="A485" t="s">
        <v>15</v>
      </c>
      <c r="B485" t="s">
        <v>154</v>
      </c>
      <c r="C485">
        <v>2021</v>
      </c>
      <c r="D485">
        <v>3</v>
      </c>
      <c r="E485">
        <v>405</v>
      </c>
      <c r="F485">
        <v>406</v>
      </c>
      <c r="G485">
        <v>4</v>
      </c>
      <c r="H485" s="4">
        <v>58900</v>
      </c>
      <c r="I485" s="8" t="str" cm="1">
        <f t="array" ref="I485">_xlfn.IFS(H485&lt;50000,"Under $50K", H485&lt;100000,"$50K–$100K",
     H485&lt;200000,"$100K–$200K", H485&lt;500000,"$200K–$500K",
     H485&gt;=500000,"$500K+")</f>
        <v>$50K–$100K</v>
      </c>
      <c r="J485" s="9" t="str">
        <f t="shared" si="35"/>
        <v>2020s</v>
      </c>
      <c r="K485">
        <f t="shared" si="36"/>
        <v>2.2812913738669924E-2</v>
      </c>
      <c r="L485">
        <f t="shared" si="37"/>
        <v>0.23441108545034642</v>
      </c>
      <c r="M485">
        <f t="shared" si="38"/>
        <v>0.53191489361702127</v>
      </c>
      <c r="N485">
        <f t="shared" si="39"/>
        <v>0.26304629760201254</v>
      </c>
    </row>
    <row r="486" spans="1:14">
      <c r="A486" t="s">
        <v>17</v>
      </c>
      <c r="B486" t="s">
        <v>91</v>
      </c>
      <c r="C486">
        <v>2022</v>
      </c>
      <c r="D486">
        <v>6.2</v>
      </c>
      <c r="E486">
        <v>650</v>
      </c>
      <c r="F486">
        <v>650</v>
      </c>
      <c r="G486">
        <v>3.5</v>
      </c>
      <c r="H486" s="4">
        <v>64000</v>
      </c>
      <c r="I486" s="8" t="str" cm="1">
        <f t="array" ref="I486">_xlfn.IFS(H486&lt;50000,"Under $50K", H486&lt;100000,"$50K–$100K",
     H486&lt;200000,"$100K–$200K", H486&lt;500000,"$200K–$500K",
     H486&gt;=500000,"$500K+")</f>
        <v>$50K–$100K</v>
      </c>
      <c r="J486" s="9" t="str">
        <f t="shared" si="35"/>
        <v>2020s</v>
      </c>
      <c r="K486">
        <f t="shared" si="36"/>
        <v>4.7764538140340158E-2</v>
      </c>
      <c r="L486">
        <f t="shared" si="37"/>
        <v>0.37528868360277134</v>
      </c>
      <c r="M486">
        <f t="shared" si="38"/>
        <v>0.63829787234042556</v>
      </c>
      <c r="N486">
        <f t="shared" si="39"/>
        <v>0.35378369802784571</v>
      </c>
    </row>
    <row r="487" spans="1:14">
      <c r="A487" t="s">
        <v>18</v>
      </c>
      <c r="B487" t="s">
        <v>71</v>
      </c>
      <c r="C487">
        <v>2022</v>
      </c>
      <c r="D487">
        <v>6.2</v>
      </c>
      <c r="E487">
        <v>717</v>
      </c>
      <c r="F487">
        <v>656</v>
      </c>
      <c r="G487">
        <v>3.5</v>
      </c>
      <c r="H487" s="4">
        <v>61500</v>
      </c>
      <c r="I487" s="8" t="str" cm="1">
        <f t="array" ref="I487">_xlfn.IFS(H487&lt;50000,"Under $50K", H487&lt;100000,"$50K–$100K",
     H487&lt;200000,"$100K–$200K", H487&lt;500000,"$200K–$500K",
     H487&gt;=500000,"$500K+")</f>
        <v>$50K–$100K</v>
      </c>
      <c r="J487" s="9" t="str">
        <f t="shared" si="35"/>
        <v>2020s</v>
      </c>
      <c r="K487">
        <f t="shared" si="36"/>
        <v>5.4588043588960182E-2</v>
      </c>
      <c r="L487">
        <f t="shared" si="37"/>
        <v>0.3787528868360277</v>
      </c>
      <c r="M487">
        <f t="shared" si="38"/>
        <v>0.63829787234042556</v>
      </c>
      <c r="N487">
        <f t="shared" si="39"/>
        <v>0.35721293425513778</v>
      </c>
    </row>
    <row r="488" spans="1:14">
      <c r="A488" t="s">
        <v>20</v>
      </c>
      <c r="B488" t="s">
        <v>92</v>
      </c>
      <c r="C488">
        <v>2021</v>
      </c>
      <c r="D488">
        <v>3.5</v>
      </c>
      <c r="E488">
        <v>647</v>
      </c>
      <c r="F488">
        <v>550</v>
      </c>
      <c r="G488">
        <v>2.8</v>
      </c>
      <c r="H488" s="4">
        <v>500000</v>
      </c>
      <c r="I488" s="8" t="str" cm="1">
        <f t="array" ref="I488">_xlfn.IFS(H488&lt;50000,"Under $50K", H488&lt;100000,"$50K–$100K",
     H488&lt;200000,"$100K–$200K", H488&lt;500000,"$200K–$500K",
     H488&gt;=500000,"$500K+")</f>
        <v>$500K+</v>
      </c>
      <c r="J488" s="9" t="str">
        <f t="shared" si="35"/>
        <v>2020s</v>
      </c>
      <c r="K488">
        <f t="shared" si="36"/>
        <v>4.7459008045625826E-2</v>
      </c>
      <c r="L488">
        <f t="shared" si="37"/>
        <v>0.31755196304849886</v>
      </c>
      <c r="M488">
        <f t="shared" si="38"/>
        <v>0.78723404255319152</v>
      </c>
      <c r="N488">
        <f t="shared" si="39"/>
        <v>0.38408167121577202</v>
      </c>
    </row>
    <row r="489" spans="1:14">
      <c r="A489" t="s">
        <v>25</v>
      </c>
      <c r="B489" t="s">
        <v>74</v>
      </c>
      <c r="C489">
        <v>2022</v>
      </c>
      <c r="D489">
        <v>5</v>
      </c>
      <c r="E489">
        <v>471</v>
      </c>
      <c r="F489">
        <v>398</v>
      </c>
      <c r="G489">
        <v>4.4000000000000004</v>
      </c>
      <c r="H489" s="4">
        <v>92950</v>
      </c>
      <c r="I489" s="8" t="str" cm="1">
        <f t="array" ref="I489">_xlfn.IFS(H489&lt;50000,"Under $50K", H489&lt;100000,"$50K–$100K",
     H489&lt;200000,"$100K–$200K", H489&lt;500000,"$200K–$500K",
     H489&gt;=500000,"$500K+")</f>
        <v>$50K–$100K</v>
      </c>
      <c r="J489" s="9" t="str">
        <f t="shared" si="35"/>
        <v>2020s</v>
      </c>
      <c r="K489">
        <f t="shared" si="36"/>
        <v>2.9534575822385171E-2</v>
      </c>
      <c r="L489">
        <f t="shared" si="37"/>
        <v>0.22979214780600463</v>
      </c>
      <c r="M489">
        <f t="shared" si="38"/>
        <v>0.44680851063829774</v>
      </c>
      <c r="N489">
        <f t="shared" si="39"/>
        <v>0.23537841142222918</v>
      </c>
    </row>
    <row r="490" spans="1:14">
      <c r="A490" t="s">
        <v>29</v>
      </c>
      <c r="B490" t="s">
        <v>103</v>
      </c>
      <c r="C490">
        <v>2022</v>
      </c>
      <c r="D490">
        <v>3.8</v>
      </c>
      <c r="E490">
        <v>562</v>
      </c>
      <c r="F490">
        <v>443</v>
      </c>
      <c r="G490">
        <v>3.1</v>
      </c>
      <c r="H490" s="4">
        <v>198950</v>
      </c>
      <c r="I490" s="8" t="str" cm="1">
        <f t="array" ref="I490">_xlfn.IFS(H490&lt;50000,"Under $50K", H490&lt;100000,"$50K–$100K",
     H490&lt;200000,"$100K–$200K", H490&lt;500000,"$200K–$500K",
     H490&gt;=500000,"$500K+")</f>
        <v>$100K–$200K</v>
      </c>
      <c r="J490" s="9" t="str">
        <f t="shared" si="35"/>
        <v>2020s</v>
      </c>
      <c r="K490">
        <f t="shared" si="36"/>
        <v>3.8802322028719832E-2</v>
      </c>
      <c r="L490">
        <f t="shared" si="37"/>
        <v>0.25577367205542723</v>
      </c>
      <c r="M490">
        <f t="shared" si="38"/>
        <v>0.72340425531914887</v>
      </c>
      <c r="N490">
        <f t="shared" si="39"/>
        <v>0.33932674980109861</v>
      </c>
    </row>
    <row r="491" spans="1:14">
      <c r="A491" t="s">
        <v>30</v>
      </c>
      <c r="B491" t="s">
        <v>202</v>
      </c>
      <c r="C491">
        <v>2021</v>
      </c>
      <c r="D491">
        <v>4</v>
      </c>
      <c r="E491">
        <v>503</v>
      </c>
      <c r="F491">
        <v>516</v>
      </c>
      <c r="G491">
        <v>3.7</v>
      </c>
      <c r="H491" s="4">
        <v>77950</v>
      </c>
      <c r="I491" s="8" t="str" cm="1">
        <f t="array" ref="I491">_xlfn.IFS(H491&lt;50000,"Under $50K", H491&lt;100000,"$50K–$100K",
     H491&lt;200000,"$100K–$200K", H491&lt;500000,"$200K–$500K",
     H491&gt;=500000,"$500K+")</f>
        <v>$50K–$100K</v>
      </c>
      <c r="J491" s="9" t="str">
        <f t="shared" si="35"/>
        <v>2020s</v>
      </c>
      <c r="K491">
        <f t="shared" si="36"/>
        <v>3.279356349933802E-2</v>
      </c>
      <c r="L491">
        <f t="shared" si="37"/>
        <v>0.29792147806004621</v>
      </c>
      <c r="M491">
        <f t="shared" si="38"/>
        <v>0.5957446808510638</v>
      </c>
      <c r="N491">
        <f t="shared" si="39"/>
        <v>0.30881990747014937</v>
      </c>
    </row>
    <row r="492" spans="1:14">
      <c r="A492" t="s">
        <v>32</v>
      </c>
      <c r="B492" t="s">
        <v>93</v>
      </c>
      <c r="C492">
        <v>2021</v>
      </c>
      <c r="D492">
        <v>3.7</v>
      </c>
      <c r="E492">
        <v>350</v>
      </c>
      <c r="F492">
        <v>276</v>
      </c>
      <c r="G492">
        <v>4.9000000000000004</v>
      </c>
      <c r="H492" s="4">
        <v>45790</v>
      </c>
      <c r="I492" s="8" t="str" cm="1">
        <f t="array" ref="I492">_xlfn.IFS(H492&lt;50000,"Under $50K", H492&lt;100000,"$50K–$100K",
     H492&lt;200000,"$100K–$200K", H492&lt;500000,"$200K–$500K",
     H492&gt;=500000,"$500K+")</f>
        <v>Under $50K</v>
      </c>
      <c r="J492" s="9" t="str">
        <f t="shared" si="35"/>
        <v>2020s</v>
      </c>
      <c r="K492">
        <f t="shared" si="36"/>
        <v>1.7211528668907222E-2</v>
      </c>
      <c r="L492">
        <f t="shared" si="37"/>
        <v>0.15935334872979215</v>
      </c>
      <c r="M492">
        <f t="shared" si="38"/>
        <v>0.34042553191489355</v>
      </c>
      <c r="N492">
        <f t="shared" si="39"/>
        <v>0.1723301364378643</v>
      </c>
    </row>
    <row r="493" spans="1:14">
      <c r="A493" t="s">
        <v>36</v>
      </c>
      <c r="B493" t="s">
        <v>198</v>
      </c>
      <c r="C493">
        <v>2021</v>
      </c>
      <c r="D493">
        <v>2</v>
      </c>
      <c r="E493">
        <v>300</v>
      </c>
      <c r="F493">
        <v>280</v>
      </c>
      <c r="G493">
        <v>4.9000000000000004</v>
      </c>
      <c r="H493" s="4">
        <v>62000</v>
      </c>
      <c r="I493" s="8" t="str" cm="1">
        <f t="array" ref="I493">_xlfn.IFS(H493&lt;50000,"Under $50K", H493&lt;100000,"$50K–$100K",
     H493&lt;200000,"$100K–$200K", H493&lt;500000,"$200K–$500K",
     H493&gt;=500000,"$500K+")</f>
        <v>$50K–$100K</v>
      </c>
      <c r="J493" s="9" t="str">
        <f t="shared" si="35"/>
        <v>2020s</v>
      </c>
      <c r="K493">
        <f t="shared" si="36"/>
        <v>1.2119360423668398E-2</v>
      </c>
      <c r="L493">
        <f t="shared" si="37"/>
        <v>0.16166281755196305</v>
      </c>
      <c r="M493">
        <f t="shared" si="38"/>
        <v>0.34042553191489355</v>
      </c>
      <c r="N493">
        <f t="shared" si="39"/>
        <v>0.17140256996350833</v>
      </c>
    </row>
    <row r="494" spans="1:14">
      <c r="A494" t="s">
        <v>24</v>
      </c>
      <c r="B494" t="s">
        <v>153</v>
      </c>
      <c r="C494">
        <v>2021</v>
      </c>
      <c r="D494">
        <v>6.5</v>
      </c>
      <c r="E494">
        <v>729</v>
      </c>
      <c r="F494">
        <v>507</v>
      </c>
      <c r="G494">
        <v>2.9</v>
      </c>
      <c r="H494" s="4">
        <v>417826</v>
      </c>
      <c r="I494" s="8" t="str" cm="1">
        <f t="array" ref="I494">_xlfn.IFS(H494&lt;50000,"Under $50K", H494&lt;100000,"$50K–$100K",
     H494&lt;200000,"$100K–$200K", H494&lt;500000,"$200K–$500K",
     H494&gt;=500000,"$500K+")</f>
        <v>$200K–$500K</v>
      </c>
      <c r="J494" s="9" t="str">
        <f t="shared" si="35"/>
        <v>2020s</v>
      </c>
      <c r="K494">
        <f t="shared" si="36"/>
        <v>5.5810163967817496E-2</v>
      </c>
      <c r="L494">
        <f t="shared" si="37"/>
        <v>0.29272517321016167</v>
      </c>
      <c r="M494">
        <f t="shared" si="38"/>
        <v>0.76595744680851063</v>
      </c>
      <c r="N494">
        <f t="shared" si="39"/>
        <v>0.37149759466216326</v>
      </c>
    </row>
    <row r="495" spans="1:14">
      <c r="A495" t="s">
        <v>19</v>
      </c>
      <c r="B495" t="s">
        <v>120</v>
      </c>
      <c r="C495">
        <v>2021</v>
      </c>
      <c r="D495">
        <v>3.9</v>
      </c>
      <c r="E495">
        <v>710</v>
      </c>
      <c r="F495">
        <v>568</v>
      </c>
      <c r="G495">
        <v>2.9</v>
      </c>
      <c r="H495" s="4">
        <v>274280</v>
      </c>
      <c r="I495" s="8" t="str" cm="1">
        <f t="array" ref="I495">_xlfn.IFS(H495&lt;50000,"Under $50K", H495&lt;100000,"$50K–$100K",
     H495&lt;200000,"$100K–$200K", H495&lt;500000,"$200K–$500K",
     H495&gt;=500000,"$500K+")</f>
        <v>$200K–$500K</v>
      </c>
      <c r="J495" s="9" t="str">
        <f t="shared" si="35"/>
        <v>2020s</v>
      </c>
      <c r="K495">
        <f t="shared" si="36"/>
        <v>5.3875140034626741E-2</v>
      </c>
      <c r="L495">
        <f t="shared" si="37"/>
        <v>0.32794457274826788</v>
      </c>
      <c r="M495">
        <f t="shared" si="38"/>
        <v>0.76595744680851063</v>
      </c>
      <c r="N495">
        <f t="shared" si="39"/>
        <v>0.3825923865304684</v>
      </c>
    </row>
    <row r="496" spans="1:14">
      <c r="A496" t="s">
        <v>13</v>
      </c>
      <c r="B496" t="s">
        <v>203</v>
      </c>
      <c r="C496">
        <v>2021</v>
      </c>
      <c r="D496">
        <v>2.5</v>
      </c>
      <c r="E496">
        <v>394</v>
      </c>
      <c r="F496">
        <v>354</v>
      </c>
      <c r="G496">
        <v>3.6</v>
      </c>
      <c r="H496" s="4">
        <v>67600</v>
      </c>
      <c r="I496" s="8" t="str" cm="1">
        <f t="array" ref="I496">_xlfn.IFS(H496&lt;50000,"Under $50K", H496&lt;100000,"$50K–$100K",
     H496&lt;200000,"$100K–$200K", H496&lt;500000,"$200K–$500K",
     H496&gt;=500000,"$500K+")</f>
        <v>$50K–$100K</v>
      </c>
      <c r="J496" s="9" t="str">
        <f t="shared" si="35"/>
        <v>2020s</v>
      </c>
      <c r="K496">
        <f t="shared" si="36"/>
        <v>2.1692636724717385E-2</v>
      </c>
      <c r="L496">
        <f t="shared" si="37"/>
        <v>0.20438799076212472</v>
      </c>
      <c r="M496">
        <f t="shared" si="38"/>
        <v>0.61702127659574468</v>
      </c>
      <c r="N496">
        <f t="shared" si="39"/>
        <v>0.28103396802752895</v>
      </c>
    </row>
    <row r="497" spans="1:14">
      <c r="A497" t="s">
        <v>15</v>
      </c>
      <c r="B497" t="s">
        <v>204</v>
      </c>
      <c r="C497">
        <v>2021</v>
      </c>
      <c r="D497">
        <v>3</v>
      </c>
      <c r="E497">
        <v>473</v>
      </c>
      <c r="F497">
        <v>406</v>
      </c>
      <c r="G497">
        <v>3.8</v>
      </c>
      <c r="H497" s="4">
        <v>71800</v>
      </c>
      <c r="I497" s="8" t="str" cm="1">
        <f t="array" ref="I497">_xlfn.IFS(H497&lt;50000,"Under $50K", H497&lt;100000,"$50K–$100K",
     H497&lt;200000,"$100K–$200K", H497&lt;500000,"$200K–$500K",
     H497&gt;=500000,"$500K+")</f>
        <v>$50K–$100K</v>
      </c>
      <c r="J497" s="9" t="str">
        <f t="shared" si="35"/>
        <v>2020s</v>
      </c>
      <c r="K497">
        <f t="shared" si="36"/>
        <v>2.9738262552194725E-2</v>
      </c>
      <c r="L497">
        <f t="shared" si="37"/>
        <v>0.23441108545034642</v>
      </c>
      <c r="M497">
        <f t="shared" si="38"/>
        <v>0.57446808510638303</v>
      </c>
      <c r="N497">
        <f t="shared" si="39"/>
        <v>0.27953914436964139</v>
      </c>
    </row>
    <row r="498" spans="1:14">
      <c r="A498" t="s">
        <v>8</v>
      </c>
      <c r="B498" t="s">
        <v>123</v>
      </c>
      <c r="C498">
        <v>2021</v>
      </c>
      <c r="D498">
        <v>3.5</v>
      </c>
      <c r="E498">
        <v>573</v>
      </c>
      <c r="F498">
        <v>476</v>
      </c>
      <c r="G498">
        <v>2.7</v>
      </c>
      <c r="H498" s="4">
        <v>159495</v>
      </c>
      <c r="I498" s="8" t="str" cm="1">
        <f t="array" ref="I498">_xlfn.IFS(H498&lt;50000,"Under $50K", H498&lt;100000,"$50K–$100K",
     H498&lt;200000,"$100K–$200K", H498&lt;500000,"$200K–$500K",
     H498&gt;=500000,"$500K+")</f>
        <v>$100K–$200K</v>
      </c>
      <c r="J498" s="9" t="str">
        <f t="shared" si="35"/>
        <v>2020s</v>
      </c>
      <c r="K498">
        <f t="shared" si="36"/>
        <v>3.9922599042672369E-2</v>
      </c>
      <c r="L498">
        <f t="shared" si="37"/>
        <v>0.27482678983833719</v>
      </c>
      <c r="M498">
        <f t="shared" si="38"/>
        <v>0.80851063829787229</v>
      </c>
      <c r="N498">
        <f t="shared" si="39"/>
        <v>0.3744200090596273</v>
      </c>
    </row>
    <row r="499" spans="1:14">
      <c r="A499" t="s">
        <v>12</v>
      </c>
      <c r="B499" t="s">
        <v>132</v>
      </c>
      <c r="C499">
        <v>2022</v>
      </c>
      <c r="D499">
        <v>5.2</v>
      </c>
      <c r="E499">
        <v>715</v>
      </c>
      <c r="F499">
        <v>664</v>
      </c>
      <c r="G499">
        <v>3.4</v>
      </c>
      <c r="H499" s="4">
        <v>314500</v>
      </c>
      <c r="I499" s="8" t="str" cm="1">
        <f t="array" ref="I499">_xlfn.IFS(H499&lt;50000,"Under $50K", H499&lt;100000,"$50K–$100K",
     H499&lt;200000,"$100K–$200K", H499&lt;500000,"$200K–$500K",
     H499&gt;=500000,"$500K+")</f>
        <v>$200K–$500K</v>
      </c>
      <c r="J499" s="9" t="str">
        <f t="shared" si="35"/>
        <v>2020s</v>
      </c>
      <c r="K499">
        <f t="shared" si="36"/>
        <v>5.4384356859150627E-2</v>
      </c>
      <c r="L499">
        <f t="shared" si="37"/>
        <v>0.38337182448036949</v>
      </c>
      <c r="M499">
        <f t="shared" si="38"/>
        <v>0.65957446808510645</v>
      </c>
      <c r="N499">
        <f t="shared" si="39"/>
        <v>0.36577688314154216</v>
      </c>
    </row>
    <row r="500" spans="1:14">
      <c r="A500" t="s">
        <v>14</v>
      </c>
      <c r="B500" t="s">
        <v>80</v>
      </c>
      <c r="C500">
        <v>2022</v>
      </c>
      <c r="D500">
        <v>6</v>
      </c>
      <c r="E500">
        <v>626</v>
      </c>
      <c r="F500">
        <v>664</v>
      </c>
      <c r="G500">
        <v>3.3</v>
      </c>
      <c r="H500" s="4">
        <v>214425</v>
      </c>
      <c r="I500" s="8" t="str" cm="1">
        <f t="array" ref="I500">_xlfn.IFS(H500&lt;50000,"Under $50K", H500&lt;100000,"$50K–$100K",
     H500&lt;200000,"$100K–$200K", H500&lt;500000,"$200K–$500K",
     H500&gt;=500000,"$500K+")</f>
        <v>$200K–$500K</v>
      </c>
      <c r="J500" s="9" t="str">
        <f t="shared" si="35"/>
        <v>2020s</v>
      </c>
      <c r="K500">
        <f t="shared" si="36"/>
        <v>4.5320297382625524E-2</v>
      </c>
      <c r="L500">
        <f t="shared" si="37"/>
        <v>0.38337182448036949</v>
      </c>
      <c r="M500">
        <f t="shared" si="38"/>
        <v>0.68085106382978733</v>
      </c>
      <c r="N500">
        <f t="shared" si="39"/>
        <v>0.36984772856426079</v>
      </c>
    </row>
    <row r="501" spans="1:14">
      <c r="A501" t="s">
        <v>16</v>
      </c>
      <c r="B501" t="s">
        <v>70</v>
      </c>
      <c r="C501">
        <v>2022</v>
      </c>
      <c r="D501">
        <v>8</v>
      </c>
      <c r="E501">
        <v>1500</v>
      </c>
      <c r="F501">
        <v>1180</v>
      </c>
      <c r="G501">
        <v>2.2999999999999998</v>
      </c>
      <c r="H501" s="4">
        <v>3000000</v>
      </c>
      <c r="I501" s="8" t="str" cm="1">
        <f t="array" ref="I501">_xlfn.IFS(H501&lt;50000,"Under $50K", H501&lt;100000,"$50K–$100K",
     H501&lt;200000,"$100K–$200K", H501&lt;500000,"$200K–$500K",
     H501&gt;=500000,"$500K+")</f>
        <v>$500K+</v>
      </c>
      <c r="J501" s="9" t="str">
        <f t="shared" si="35"/>
        <v>2020s</v>
      </c>
      <c r="K501">
        <f t="shared" si="36"/>
        <v>0.13433139830940014</v>
      </c>
      <c r="L501">
        <f t="shared" si="37"/>
        <v>0.68129330254041576</v>
      </c>
      <c r="M501">
        <f t="shared" si="38"/>
        <v>0.89361702127659581</v>
      </c>
      <c r="N501">
        <f t="shared" si="39"/>
        <v>0.56974724070880389</v>
      </c>
    </row>
    <row r="502" spans="1:14">
      <c r="A502" t="s">
        <v>18</v>
      </c>
      <c r="B502" t="s">
        <v>71</v>
      </c>
      <c r="C502">
        <v>2022</v>
      </c>
      <c r="D502">
        <v>6.2</v>
      </c>
      <c r="E502">
        <v>717</v>
      </c>
      <c r="F502">
        <v>656</v>
      </c>
      <c r="G502">
        <v>3.5</v>
      </c>
      <c r="H502" s="4">
        <v>71490</v>
      </c>
      <c r="I502" s="8" t="str" cm="1">
        <f t="array" ref="I502">_xlfn.IFS(H502&lt;50000,"Under $50K", H502&lt;100000,"$50K–$100K",
     H502&lt;200000,"$100K–$200K", H502&lt;500000,"$200K–$500K",
     H502&gt;=500000,"$500K+")</f>
        <v>$50K–$100K</v>
      </c>
      <c r="J502" s="9" t="str">
        <f t="shared" si="35"/>
        <v>2020s</v>
      </c>
      <c r="K502">
        <f t="shared" si="36"/>
        <v>5.4588043588960182E-2</v>
      </c>
      <c r="L502">
        <f t="shared" si="37"/>
        <v>0.3787528868360277</v>
      </c>
      <c r="M502">
        <f t="shared" si="38"/>
        <v>0.63829787234042556</v>
      </c>
      <c r="N502">
        <f t="shared" si="39"/>
        <v>0.35721293425513778</v>
      </c>
    </row>
    <row r="503" spans="1:14">
      <c r="A503" t="s">
        <v>21</v>
      </c>
      <c r="B503" t="s">
        <v>72</v>
      </c>
      <c r="C503">
        <v>2021</v>
      </c>
      <c r="D503">
        <v>5</v>
      </c>
      <c r="E503">
        <v>575</v>
      </c>
      <c r="F503">
        <v>516</v>
      </c>
      <c r="G503">
        <v>3.5</v>
      </c>
      <c r="H503" s="4">
        <v>105900</v>
      </c>
      <c r="I503" s="8" t="str" cm="1">
        <f t="array" ref="I503">_xlfn.IFS(H503&lt;50000,"Under $50K", H503&lt;100000,"$50K–$100K",
     H503&lt;200000,"$100K–$200K", H503&lt;500000,"$200K–$500K",
     H503&gt;=500000,"$500K+")</f>
        <v>$100K–$200K</v>
      </c>
      <c r="J503" s="9" t="str">
        <f t="shared" si="35"/>
        <v>2020s</v>
      </c>
      <c r="K503">
        <f t="shared" si="36"/>
        <v>4.0126285772481923E-2</v>
      </c>
      <c r="L503">
        <f t="shared" si="37"/>
        <v>0.29792147806004621</v>
      </c>
      <c r="M503">
        <f t="shared" si="38"/>
        <v>0.63829787234042556</v>
      </c>
      <c r="N503">
        <f t="shared" si="39"/>
        <v>0.32544854539098456</v>
      </c>
    </row>
    <row r="504" spans="1:14">
      <c r="A504" t="s">
        <v>23</v>
      </c>
      <c r="B504" t="s">
        <v>73</v>
      </c>
      <c r="C504">
        <v>2021</v>
      </c>
      <c r="D504">
        <v>5</v>
      </c>
      <c r="E504">
        <v>1280</v>
      </c>
      <c r="F504">
        <v>1106</v>
      </c>
      <c r="G504">
        <v>2.5</v>
      </c>
      <c r="H504" s="4">
        <v>2800000</v>
      </c>
      <c r="I504" s="8" t="str" cm="1">
        <f t="array" ref="I504">_xlfn.IFS(H504&lt;50000,"Under $50K", H504&lt;100000,"$50K–$100K",
     H504&lt;200000,"$100K–$200K", H504&lt;500000,"$200K–$500K",
     H504&gt;=500000,"$500K+")</f>
        <v>$500K+</v>
      </c>
      <c r="J504" s="9" t="str">
        <f t="shared" si="35"/>
        <v>2020s</v>
      </c>
      <c r="K504">
        <f t="shared" si="36"/>
        <v>0.11192585803034932</v>
      </c>
      <c r="L504">
        <f t="shared" si="37"/>
        <v>0.63856812933025409</v>
      </c>
      <c r="M504">
        <f t="shared" si="38"/>
        <v>0.85106382978723405</v>
      </c>
      <c r="N504">
        <f t="shared" si="39"/>
        <v>0.53385260571594584</v>
      </c>
    </row>
    <row r="505" spans="1:14">
      <c r="A505" t="s">
        <v>25</v>
      </c>
      <c r="B505" t="s">
        <v>74</v>
      </c>
      <c r="C505">
        <v>2021</v>
      </c>
      <c r="D505">
        <v>5</v>
      </c>
      <c r="E505">
        <v>471</v>
      </c>
      <c r="F505">
        <v>398</v>
      </c>
      <c r="G505">
        <v>4.4000000000000004</v>
      </c>
      <c r="H505" s="4">
        <v>92950</v>
      </c>
      <c r="I505" s="8" t="str" cm="1">
        <f t="array" ref="I505">_xlfn.IFS(H505&lt;50000,"Under $50K", H505&lt;100000,"$50K–$100K",
     H505&lt;200000,"$100K–$200K", H505&lt;500000,"$200K–$500K",
     H505&gt;=500000,"$500K+")</f>
        <v>$50K–$100K</v>
      </c>
      <c r="J505" s="9" t="str">
        <f t="shared" si="35"/>
        <v>2020s</v>
      </c>
      <c r="K505">
        <f t="shared" si="36"/>
        <v>2.9534575822385171E-2</v>
      </c>
      <c r="L505">
        <f t="shared" si="37"/>
        <v>0.22979214780600463</v>
      </c>
      <c r="M505">
        <f t="shared" si="38"/>
        <v>0.44680851063829774</v>
      </c>
      <c r="N505">
        <f t="shared" si="39"/>
        <v>0.23537841142222918</v>
      </c>
    </row>
    <row r="506" spans="1:14">
      <c r="A506" t="s">
        <v>26</v>
      </c>
      <c r="B506" t="s">
        <v>75</v>
      </c>
      <c r="C506">
        <v>2021</v>
      </c>
      <c r="D506">
        <v>3.5</v>
      </c>
      <c r="E506">
        <v>416</v>
      </c>
      <c r="F506">
        <v>317</v>
      </c>
      <c r="G506">
        <v>3.8</v>
      </c>
      <c r="H506" s="4">
        <v>104400</v>
      </c>
      <c r="I506" s="8" t="str" cm="1">
        <f t="array" ref="I506">_xlfn.IFS(H506&lt;50000,"Under $50K", H506&lt;100000,"$50K–$100K",
     H506&lt;200000,"$100K–$200K", H506&lt;500000,"$200K–$500K",
     H506&gt;=500000,"$500K+")</f>
        <v>$100K–$200K</v>
      </c>
      <c r="J506" s="9" t="str">
        <f t="shared" si="35"/>
        <v>2020s</v>
      </c>
      <c r="K506">
        <f t="shared" si="36"/>
        <v>2.3933190752622468E-2</v>
      </c>
      <c r="L506">
        <f t="shared" si="37"/>
        <v>0.18302540415704388</v>
      </c>
      <c r="M506">
        <f t="shared" si="38"/>
        <v>0.57446808510638303</v>
      </c>
      <c r="N506">
        <f t="shared" si="39"/>
        <v>0.26047556000534983</v>
      </c>
    </row>
    <row r="507" spans="1:14">
      <c r="A507" t="s">
        <v>27</v>
      </c>
      <c r="B507" t="s">
        <v>76</v>
      </c>
      <c r="C507">
        <v>2022</v>
      </c>
      <c r="D507">
        <v>4.7</v>
      </c>
      <c r="E507">
        <v>454</v>
      </c>
      <c r="F507">
        <v>384</v>
      </c>
      <c r="G507">
        <v>4.7</v>
      </c>
      <c r="H507" s="4">
        <v>150980</v>
      </c>
      <c r="I507" s="8" t="str" cm="1">
        <f t="array" ref="I507">_xlfn.IFS(H507&lt;50000,"Under $50K", H507&lt;100000,"$50K–$100K",
     H507&lt;200000,"$100K–$200K", H507&lt;500000,"$200K–$500K",
     H507&gt;=500000,"$500K+")</f>
        <v>$100K–$200K</v>
      </c>
      <c r="J507" s="9" t="str">
        <f t="shared" si="35"/>
        <v>2020s</v>
      </c>
      <c r="K507">
        <f t="shared" si="36"/>
        <v>2.7803238619003971E-2</v>
      </c>
      <c r="L507">
        <f t="shared" si="37"/>
        <v>0.22170900692840648</v>
      </c>
      <c r="M507">
        <f t="shared" si="38"/>
        <v>0.38297872340425532</v>
      </c>
      <c r="N507">
        <f t="shared" si="39"/>
        <v>0.2108303229838886</v>
      </c>
    </row>
    <row r="508" spans="1:14">
      <c r="A508" t="s">
        <v>29</v>
      </c>
      <c r="B508" t="s">
        <v>81</v>
      </c>
      <c r="C508">
        <v>2022</v>
      </c>
      <c r="D508">
        <v>3</v>
      </c>
      <c r="E508">
        <v>671</v>
      </c>
      <c r="F508">
        <v>531</v>
      </c>
      <c r="G508">
        <v>3</v>
      </c>
      <c r="H508" s="4">
        <v>225000</v>
      </c>
      <c r="I508" s="8" t="str" cm="1">
        <f t="array" ref="I508">_xlfn.IFS(H508&lt;50000,"Under $50K", H508&lt;100000,"$50K–$100K",
     H508&lt;200000,"$100K–$200K", H508&lt;500000,"$200K–$500K",
     H508&gt;=500000,"$500K+")</f>
        <v>$200K–$500K</v>
      </c>
      <c r="J508" s="9" t="str">
        <f t="shared" si="35"/>
        <v>2020s</v>
      </c>
      <c r="K508">
        <f t="shared" si="36"/>
        <v>4.9903248803340461E-2</v>
      </c>
      <c r="L508">
        <f t="shared" si="37"/>
        <v>0.30658198614318705</v>
      </c>
      <c r="M508">
        <f t="shared" si="38"/>
        <v>0.74468085106382986</v>
      </c>
      <c r="N508">
        <f t="shared" si="39"/>
        <v>0.36705536200345246</v>
      </c>
    </row>
    <row r="509" spans="1:14">
      <c r="A509" t="s">
        <v>33</v>
      </c>
      <c r="B509" t="s">
        <v>83</v>
      </c>
      <c r="C509">
        <v>2021</v>
      </c>
      <c r="D509">
        <v>6</v>
      </c>
      <c r="E509">
        <v>764</v>
      </c>
      <c r="F509">
        <v>738</v>
      </c>
      <c r="G509">
        <v>2.6</v>
      </c>
      <c r="H509" s="4">
        <v>2600000</v>
      </c>
      <c r="I509" s="8" t="str" cm="1">
        <f t="array" ref="I509">_xlfn.IFS(H509&lt;50000,"Under $50K", H509&lt;100000,"$50K–$100K",
     H509&lt;200000,"$100K–$200K", H509&lt;500000,"$200K–$500K",
     H509&gt;=500000,"$500K+")</f>
        <v>$500K+</v>
      </c>
      <c r="J509" s="9" t="str">
        <f t="shared" si="35"/>
        <v>2020s</v>
      </c>
      <c r="K509">
        <f t="shared" si="36"/>
        <v>5.9374681739484673E-2</v>
      </c>
      <c r="L509">
        <f t="shared" si="37"/>
        <v>0.42609699769053117</v>
      </c>
      <c r="M509">
        <f t="shared" si="38"/>
        <v>0.82978723404255317</v>
      </c>
      <c r="N509">
        <f t="shared" si="39"/>
        <v>0.43841963782418963</v>
      </c>
    </row>
    <row r="510" spans="1:14">
      <c r="A510" t="s">
        <v>36</v>
      </c>
      <c r="B510" t="s">
        <v>86</v>
      </c>
      <c r="C510">
        <v>2022</v>
      </c>
      <c r="D510">
        <v>4</v>
      </c>
      <c r="E510">
        <v>414</v>
      </c>
      <c r="F510">
        <v>309</v>
      </c>
      <c r="G510">
        <v>4.2</v>
      </c>
      <c r="H510" s="4">
        <v>102000</v>
      </c>
      <c r="I510" s="8" t="str" cm="1">
        <f t="array" ref="I510">_xlfn.IFS(H510&lt;50000,"Under $50K", H510&lt;100000,"$50K–$100K",
     H510&lt;200000,"$100K–$200K", H510&lt;500000,"$200K–$500K",
     H510&gt;=500000,"$500K+")</f>
        <v>$100K–$200K</v>
      </c>
      <c r="J510" s="9" t="str">
        <f t="shared" si="35"/>
        <v>2020s</v>
      </c>
      <c r="K510">
        <f t="shared" si="36"/>
        <v>2.3729504022812913E-2</v>
      </c>
      <c r="L510">
        <f t="shared" si="37"/>
        <v>0.17840646651270209</v>
      </c>
      <c r="M510">
        <f t="shared" si="38"/>
        <v>0.4893617021276595</v>
      </c>
      <c r="N510">
        <f t="shared" si="39"/>
        <v>0.23049922422105817</v>
      </c>
    </row>
    <row r="511" spans="1:14">
      <c r="A511" t="s">
        <v>37</v>
      </c>
      <c r="B511" t="s">
        <v>140</v>
      </c>
      <c r="C511">
        <v>2021</v>
      </c>
      <c r="D511" t="s">
        <v>85</v>
      </c>
      <c r="E511">
        <v>1914</v>
      </c>
      <c r="F511">
        <v>1696</v>
      </c>
      <c r="G511">
        <v>1.9</v>
      </c>
      <c r="H511" s="4">
        <v>2400000</v>
      </c>
      <c r="I511" s="8" t="str" cm="1">
        <f t="array" ref="I511">_xlfn.IFS(H511&lt;50000,"Under $50K", H511&lt;100000,"$50K–$100K",
     H511&lt;200000,"$100K–$200K", H511&lt;500000,"$200K–$500K",
     H511&gt;=500000,"$500K+")</f>
        <v>$500K+</v>
      </c>
      <c r="J511" s="9" t="str">
        <f t="shared" si="35"/>
        <v>2020s</v>
      </c>
      <c r="K511">
        <f t="shared" si="36"/>
        <v>0.1764945513799776</v>
      </c>
      <c r="L511">
        <f t="shared" si="37"/>
        <v>0.97921478060046185</v>
      </c>
      <c r="M511">
        <f t="shared" si="38"/>
        <v>0.97872340425531923</v>
      </c>
      <c r="N511">
        <f t="shared" si="39"/>
        <v>0.71147757874525297</v>
      </c>
    </row>
    <row r="512" spans="1:14">
      <c r="A512" t="s">
        <v>38</v>
      </c>
      <c r="B512" t="s">
        <v>126</v>
      </c>
      <c r="C512">
        <v>2021</v>
      </c>
      <c r="D512">
        <v>6.8</v>
      </c>
      <c r="E512">
        <v>624</v>
      </c>
      <c r="F512">
        <v>605</v>
      </c>
      <c r="G512">
        <v>4.4000000000000004</v>
      </c>
      <c r="H512" s="4">
        <v>335550</v>
      </c>
      <c r="I512" s="8" t="str" cm="1">
        <f t="array" ref="I512">_xlfn.IFS(H512&lt;50000,"Under $50K", H512&lt;100000,"$50K–$100K",
     H512&lt;200000,"$100K–$200K", H512&lt;500000,"$200K–$500K",
     H512&gt;=500000,"$500K+")</f>
        <v>$200K–$500K</v>
      </c>
      <c r="J512" s="9" t="str">
        <f t="shared" si="35"/>
        <v>2020s</v>
      </c>
      <c r="K512">
        <f t="shared" si="36"/>
        <v>4.5116610652815969E-2</v>
      </c>
      <c r="L512">
        <f t="shared" si="37"/>
        <v>0.34930715935334872</v>
      </c>
      <c r="M512">
        <f t="shared" si="38"/>
        <v>0.44680851063829774</v>
      </c>
      <c r="N512">
        <f t="shared" si="39"/>
        <v>0.28041076021482081</v>
      </c>
    </row>
    <row r="513" spans="1:14">
      <c r="A513" t="s">
        <v>41</v>
      </c>
      <c r="B513" t="s">
        <v>143</v>
      </c>
      <c r="C513">
        <v>2021</v>
      </c>
      <c r="D513" t="s">
        <v>85</v>
      </c>
      <c r="E513">
        <v>1020</v>
      </c>
      <c r="F513">
        <v>1050</v>
      </c>
      <c r="G513">
        <v>1.9</v>
      </c>
      <c r="H513" s="4">
        <v>141990</v>
      </c>
      <c r="I513" s="8" t="str" cm="1">
        <f t="array" ref="I513">_xlfn.IFS(H513&lt;50000,"Under $50K", H513&lt;100000,"$50K–$100K",
     H513&lt;200000,"$100K–$200K", H513&lt;500000,"$200K–$500K",
     H513&gt;=500000,"$500K+")</f>
        <v>$100K–$200K</v>
      </c>
      <c r="J513" s="9" t="str">
        <f t="shared" si="35"/>
        <v>2020s</v>
      </c>
      <c r="K513">
        <f t="shared" si="36"/>
        <v>8.5446583155107447E-2</v>
      </c>
      <c r="L513">
        <f t="shared" si="37"/>
        <v>0.60623556581986138</v>
      </c>
      <c r="M513">
        <f t="shared" si="38"/>
        <v>0.97872340425531923</v>
      </c>
      <c r="N513">
        <f t="shared" si="39"/>
        <v>0.55680185107676261</v>
      </c>
    </row>
    <row r="514" spans="1:14">
      <c r="A514" t="s">
        <v>42</v>
      </c>
      <c r="B514" t="s">
        <v>144</v>
      </c>
      <c r="C514">
        <v>2022</v>
      </c>
      <c r="D514">
        <v>3</v>
      </c>
      <c r="E514">
        <v>382</v>
      </c>
      <c r="F514">
        <v>368</v>
      </c>
      <c r="G514">
        <v>3.9</v>
      </c>
      <c r="H514" s="4">
        <v>43090</v>
      </c>
      <c r="I514" s="8" t="str" cm="1">
        <f t="array" ref="I514">_xlfn.IFS(H514&lt;50000,"Under $50K", H514&lt;100000,"$50K–$100K",
     H514&lt;200000,"$100K–$200K", H514&lt;500000,"$200K–$500K",
     H514&gt;=500000,"$500K+")</f>
        <v>Under $50K</v>
      </c>
      <c r="J514" s="9" t="str">
        <f t="shared" si="35"/>
        <v>2020s</v>
      </c>
      <c r="K514">
        <f t="shared" si="36"/>
        <v>2.0470516345860067E-2</v>
      </c>
      <c r="L514">
        <f t="shared" si="37"/>
        <v>0.21247113163972287</v>
      </c>
      <c r="M514">
        <f t="shared" si="38"/>
        <v>0.55319148936170226</v>
      </c>
      <c r="N514">
        <f t="shared" si="39"/>
        <v>0.26204437911576173</v>
      </c>
    </row>
    <row r="515" spans="1:14">
      <c r="A515" t="s">
        <v>43</v>
      </c>
      <c r="B515" t="s">
        <v>145</v>
      </c>
      <c r="C515">
        <v>2021</v>
      </c>
      <c r="D515">
        <v>5</v>
      </c>
      <c r="E515">
        <v>500</v>
      </c>
      <c r="F515">
        <v>420</v>
      </c>
      <c r="G515">
        <v>3.9</v>
      </c>
      <c r="H515" s="4">
        <v>157500</v>
      </c>
      <c r="I515" s="8" t="str" cm="1">
        <f t="array" ref="I515">_xlfn.IFS(H515&lt;50000,"Under $50K", H515&lt;100000,"$50K–$100K",
     H515&lt;200000,"$100K–$200K", H515&lt;500000,"$200K–$500K",
     H515&gt;=500000,"$500K+")</f>
        <v>$100K–$200K</v>
      </c>
      <c r="J515" s="9" t="str">
        <f t="shared" ref="J515:J578" si="40">_xlfn.CONCAT(INT(C515/10)*10,"s")</f>
        <v>2020s</v>
      </c>
      <c r="K515">
        <f t="shared" ref="K515:K578" si="41">(E515-MIN($E$2:$E$1008))/(MAX($E$2:$E$1008)-MIN($E$2:$E$1008))</f>
        <v>3.2488033404623688E-2</v>
      </c>
      <c r="L515">
        <f t="shared" ref="L515:L578" si="42">(F515-MIN($F$2:$F$501))/(MAX($F$2:$F$501)-MIN($F$2:$F$501))</f>
        <v>0.24249422632794457</v>
      </c>
      <c r="M515">
        <f t="shared" ref="M515:M578" si="43">1-((G515-MIN($G$2:$G$501))/(MAX($G$2:$G$501)-MIN($G$2:$G$501)))</f>
        <v>0.55319148936170226</v>
      </c>
      <c r="N515">
        <f t="shared" ref="N515:N578" si="44">AVERAGE(K515,L515,M515)</f>
        <v>0.27605791636475679</v>
      </c>
    </row>
    <row r="516" spans="1:14">
      <c r="A516" t="s">
        <v>44</v>
      </c>
      <c r="B516" t="s">
        <v>205</v>
      </c>
      <c r="C516">
        <v>2021</v>
      </c>
      <c r="D516">
        <v>6.2</v>
      </c>
      <c r="E516">
        <v>1200</v>
      </c>
      <c r="F516">
        <v>1300</v>
      </c>
      <c r="G516">
        <v>2.2999999999999998</v>
      </c>
      <c r="H516" s="4">
        <v>220000</v>
      </c>
      <c r="I516" s="8" t="str" cm="1">
        <f t="array" ref="I516">_xlfn.IFS(H516&lt;50000,"Under $50K", H516&lt;100000,"$50K–$100K",
     H516&lt;200000,"$100K–$200K", H516&lt;500000,"$200K–$500K",
     H516&gt;=500000,"$500K+")</f>
        <v>$200K–$500K</v>
      </c>
      <c r="J516" s="9" t="str">
        <f t="shared" si="40"/>
        <v>2020s</v>
      </c>
      <c r="K516">
        <f t="shared" si="41"/>
        <v>0.10377838883796721</v>
      </c>
      <c r="L516">
        <f t="shared" si="42"/>
        <v>0.75057736720554269</v>
      </c>
      <c r="M516">
        <f t="shared" si="43"/>
        <v>0.89361702127659581</v>
      </c>
      <c r="N516">
        <f t="shared" si="44"/>
        <v>0.58265759244003523</v>
      </c>
    </row>
    <row r="517" spans="1:14">
      <c r="A517" t="s">
        <v>45</v>
      </c>
      <c r="B517" t="s">
        <v>206</v>
      </c>
      <c r="C517">
        <v>2022</v>
      </c>
      <c r="D517">
        <v>3.8</v>
      </c>
      <c r="E517">
        <v>800</v>
      </c>
      <c r="F517">
        <v>723</v>
      </c>
      <c r="G517">
        <v>2.7</v>
      </c>
      <c r="H517" s="4">
        <v>1550000</v>
      </c>
      <c r="I517" s="8" t="str" cm="1">
        <f t="array" ref="I517">_xlfn.IFS(H517&lt;50000,"Under $50K", H517&lt;100000,"$50K–$100K",
     H517&lt;200000,"$100K–$200K", H517&lt;500000,"$200K–$500K",
     H517&gt;=500000,"$500K+")</f>
        <v>$500K+</v>
      </c>
      <c r="J517" s="9" t="str">
        <f t="shared" si="40"/>
        <v>2020s</v>
      </c>
      <c r="K517">
        <f t="shared" si="41"/>
        <v>6.3041042876056622E-2</v>
      </c>
      <c r="L517">
        <f t="shared" si="42"/>
        <v>0.41743648960739033</v>
      </c>
      <c r="M517">
        <f t="shared" si="43"/>
        <v>0.80851063829787229</v>
      </c>
      <c r="N517">
        <f t="shared" si="44"/>
        <v>0.42966272359377305</v>
      </c>
    </row>
    <row r="518" spans="1:14">
      <c r="A518" t="s">
        <v>8</v>
      </c>
      <c r="B518" t="s">
        <v>123</v>
      </c>
      <c r="C518">
        <v>2021</v>
      </c>
      <c r="D518">
        <v>3.5</v>
      </c>
      <c r="E518">
        <v>573</v>
      </c>
      <c r="F518">
        <v>476</v>
      </c>
      <c r="G518">
        <v>2.9</v>
      </c>
      <c r="H518" s="4">
        <v>157500</v>
      </c>
      <c r="I518" s="8" t="str" cm="1">
        <f t="array" ref="I518">_xlfn.IFS(H518&lt;50000,"Under $50K", H518&lt;100000,"$50K–$100K",
     H518&lt;200000,"$100K–$200K", H518&lt;500000,"$200K–$500K",
     H518&gt;=500000,"$500K+")</f>
        <v>$100K–$200K</v>
      </c>
      <c r="J518" s="9" t="str">
        <f t="shared" si="40"/>
        <v>2020s</v>
      </c>
      <c r="K518">
        <f t="shared" si="41"/>
        <v>3.9922599042672369E-2</v>
      </c>
      <c r="L518">
        <f t="shared" si="42"/>
        <v>0.27482678983833719</v>
      </c>
      <c r="M518">
        <f t="shared" si="43"/>
        <v>0.76595744680851063</v>
      </c>
      <c r="N518">
        <f t="shared" si="44"/>
        <v>0.36023561189650671</v>
      </c>
    </row>
    <row r="519" spans="1:14">
      <c r="A519" t="s">
        <v>12</v>
      </c>
      <c r="B519" t="s">
        <v>132</v>
      </c>
      <c r="C519">
        <v>2022</v>
      </c>
      <c r="D519">
        <v>5.2</v>
      </c>
      <c r="E519">
        <v>715</v>
      </c>
      <c r="F519">
        <v>663</v>
      </c>
      <c r="G519">
        <v>3.2</v>
      </c>
      <c r="H519" s="4">
        <v>308000</v>
      </c>
      <c r="I519" s="8" t="str" cm="1">
        <f t="array" ref="I519">_xlfn.IFS(H519&lt;50000,"Under $50K", H519&lt;100000,"$50K–$100K",
     H519&lt;200000,"$100K–$200K", H519&lt;500000,"$200K–$500K",
     H519&gt;=500000,"$500K+")</f>
        <v>$200K–$500K</v>
      </c>
      <c r="J519" s="9" t="str">
        <f t="shared" si="40"/>
        <v>2020s</v>
      </c>
      <c r="K519">
        <f t="shared" si="41"/>
        <v>5.4384356859150627E-2</v>
      </c>
      <c r="L519">
        <f t="shared" si="42"/>
        <v>0.3827944572748268</v>
      </c>
      <c r="M519">
        <f t="shared" si="43"/>
        <v>0.7021276595744681</v>
      </c>
      <c r="N519">
        <f t="shared" si="44"/>
        <v>0.37976882456948186</v>
      </c>
    </row>
    <row r="520" spans="1:14">
      <c r="A520" t="s">
        <v>14</v>
      </c>
      <c r="B520" t="s">
        <v>80</v>
      </c>
      <c r="C520">
        <v>2021</v>
      </c>
      <c r="D520">
        <v>6</v>
      </c>
      <c r="E520">
        <v>626</v>
      </c>
      <c r="F520">
        <v>664</v>
      </c>
      <c r="G520">
        <v>3.6</v>
      </c>
      <c r="H520" s="4">
        <v>202500</v>
      </c>
      <c r="I520" s="8" t="str" cm="1">
        <f t="array" ref="I520">_xlfn.IFS(H520&lt;50000,"Under $50K", H520&lt;100000,"$50K–$100K",
     H520&lt;200000,"$100K–$200K", H520&lt;500000,"$200K–$500K",
     H520&gt;=500000,"$500K+")</f>
        <v>$200K–$500K</v>
      </c>
      <c r="J520" s="9" t="str">
        <f t="shared" si="40"/>
        <v>2020s</v>
      </c>
      <c r="K520">
        <f t="shared" si="41"/>
        <v>4.5320297382625524E-2</v>
      </c>
      <c r="L520">
        <f t="shared" si="42"/>
        <v>0.38337182448036949</v>
      </c>
      <c r="M520">
        <f t="shared" si="43"/>
        <v>0.61702127659574468</v>
      </c>
      <c r="N520">
        <f t="shared" si="44"/>
        <v>0.34857113281957991</v>
      </c>
    </row>
    <row r="521" spans="1:14">
      <c r="A521" t="s">
        <v>16</v>
      </c>
      <c r="B521" t="s">
        <v>70</v>
      </c>
      <c r="C521">
        <v>2021</v>
      </c>
      <c r="D521">
        <v>8</v>
      </c>
      <c r="E521">
        <v>1500</v>
      </c>
      <c r="F521">
        <v>1180</v>
      </c>
      <c r="G521">
        <v>2.2999999999999998</v>
      </c>
      <c r="H521" s="4">
        <v>3000000</v>
      </c>
      <c r="I521" s="8" t="str" cm="1">
        <f t="array" ref="I521">_xlfn.IFS(H521&lt;50000,"Under $50K", H521&lt;100000,"$50K–$100K",
     H521&lt;200000,"$100K–$200K", H521&lt;500000,"$200K–$500K",
     H521&gt;=500000,"$500K+")</f>
        <v>$500K+</v>
      </c>
      <c r="J521" s="9" t="str">
        <f t="shared" si="40"/>
        <v>2020s</v>
      </c>
      <c r="K521">
        <f t="shared" si="41"/>
        <v>0.13433139830940014</v>
      </c>
      <c r="L521">
        <f t="shared" si="42"/>
        <v>0.68129330254041576</v>
      </c>
      <c r="M521">
        <f t="shared" si="43"/>
        <v>0.89361702127659581</v>
      </c>
      <c r="N521">
        <f t="shared" si="44"/>
        <v>0.56974724070880389</v>
      </c>
    </row>
    <row r="522" spans="1:14">
      <c r="A522" t="s">
        <v>18</v>
      </c>
      <c r="B522" t="s">
        <v>71</v>
      </c>
      <c r="C522">
        <v>2021</v>
      </c>
      <c r="D522">
        <v>6.2</v>
      </c>
      <c r="E522">
        <v>717</v>
      </c>
      <c r="F522">
        <v>656</v>
      </c>
      <c r="G522">
        <v>3.5</v>
      </c>
      <c r="H522" s="4">
        <v>65000</v>
      </c>
      <c r="I522" s="8" t="str" cm="1">
        <f t="array" ref="I522">_xlfn.IFS(H522&lt;50000,"Under $50K", H522&lt;100000,"$50K–$100K",
     H522&lt;200000,"$100K–$200K", H522&lt;500000,"$200K–$500K",
     H522&gt;=500000,"$500K+")</f>
        <v>$50K–$100K</v>
      </c>
      <c r="J522" s="9" t="str">
        <f t="shared" si="40"/>
        <v>2020s</v>
      </c>
      <c r="K522">
        <f t="shared" si="41"/>
        <v>5.4588043588960182E-2</v>
      </c>
      <c r="L522">
        <f t="shared" si="42"/>
        <v>0.3787528868360277</v>
      </c>
      <c r="M522">
        <f t="shared" si="43"/>
        <v>0.63829787234042556</v>
      </c>
      <c r="N522">
        <f t="shared" si="44"/>
        <v>0.35721293425513778</v>
      </c>
    </row>
    <row r="523" spans="1:14">
      <c r="A523" t="s">
        <v>21</v>
      </c>
      <c r="B523" t="s">
        <v>72</v>
      </c>
      <c r="C523">
        <v>2021</v>
      </c>
      <c r="D523">
        <v>3</v>
      </c>
      <c r="E523">
        <v>380</v>
      </c>
      <c r="F523">
        <v>339</v>
      </c>
      <c r="G523">
        <v>4.9000000000000004</v>
      </c>
      <c r="H523" s="4">
        <v>63100</v>
      </c>
      <c r="I523" s="8" t="str" cm="1">
        <f t="array" ref="I523">_xlfn.IFS(H523&lt;50000,"Under $50K", H523&lt;100000,"$50K–$100K",
     H523&lt;200000,"$100K–$200K", H523&lt;500000,"$200K–$500K",
     H523&gt;=500000,"$500K+")</f>
        <v>$50K–$100K</v>
      </c>
      <c r="J523" s="9" t="str">
        <f t="shared" si="40"/>
        <v>2020s</v>
      </c>
      <c r="K523">
        <f t="shared" si="41"/>
        <v>2.0266829616050513E-2</v>
      </c>
      <c r="L523">
        <f t="shared" si="42"/>
        <v>0.19572748267898382</v>
      </c>
      <c r="M523">
        <f t="shared" si="43"/>
        <v>0.34042553191489355</v>
      </c>
      <c r="N523">
        <f t="shared" si="44"/>
        <v>0.18547328140330929</v>
      </c>
    </row>
    <row r="524" spans="1:14">
      <c r="A524" t="s">
        <v>25</v>
      </c>
      <c r="B524" t="s">
        <v>74</v>
      </c>
      <c r="C524">
        <v>2021</v>
      </c>
      <c r="D524">
        <v>5</v>
      </c>
      <c r="E524">
        <v>471</v>
      </c>
      <c r="F524">
        <v>398</v>
      </c>
      <c r="G524">
        <v>4.4000000000000004</v>
      </c>
      <c r="H524" s="4">
        <v>92950</v>
      </c>
      <c r="I524" s="8" t="str" cm="1">
        <f t="array" ref="I524">_xlfn.IFS(H524&lt;50000,"Under $50K", H524&lt;100000,"$50K–$100K",
     H524&lt;200000,"$100K–$200K", H524&lt;500000,"$200K–$500K",
     H524&gt;=500000,"$500K+")</f>
        <v>$50K–$100K</v>
      </c>
      <c r="J524" s="9" t="str">
        <f t="shared" si="40"/>
        <v>2020s</v>
      </c>
      <c r="K524">
        <f t="shared" si="41"/>
        <v>2.9534575822385171E-2</v>
      </c>
      <c r="L524">
        <f t="shared" si="42"/>
        <v>0.22979214780600463</v>
      </c>
      <c r="M524">
        <f t="shared" si="43"/>
        <v>0.44680851063829774</v>
      </c>
      <c r="N524">
        <f t="shared" si="44"/>
        <v>0.23537841142222918</v>
      </c>
    </row>
    <row r="525" spans="1:14">
      <c r="A525" t="s">
        <v>26</v>
      </c>
      <c r="B525" t="s">
        <v>191</v>
      </c>
      <c r="C525">
        <v>2022</v>
      </c>
      <c r="D525" t="s">
        <v>85</v>
      </c>
      <c r="E525">
        <v>1973</v>
      </c>
      <c r="F525">
        <v>1254</v>
      </c>
      <c r="G525">
        <v>2.5</v>
      </c>
      <c r="H525" s="4">
        <v>2600000</v>
      </c>
      <c r="I525" s="8" t="str" cm="1">
        <f t="array" ref="I525">_xlfn.IFS(H525&lt;50000,"Under $50K", H525&lt;100000,"$50K–$100K",
     H525&lt;200000,"$100K–$200K", H525&lt;500000,"$200K–$500K",
     H525&gt;=500000,"$500K+")</f>
        <v>$500K+</v>
      </c>
      <c r="J525" s="9" t="str">
        <f t="shared" si="40"/>
        <v>2020s</v>
      </c>
      <c r="K525">
        <f t="shared" si="41"/>
        <v>0.1825033099093594</v>
      </c>
      <c r="L525">
        <f t="shared" si="42"/>
        <v>0.72401847575057732</v>
      </c>
      <c r="M525">
        <f t="shared" si="43"/>
        <v>0.85106382978723405</v>
      </c>
      <c r="N525">
        <f t="shared" si="44"/>
        <v>0.58586187181572358</v>
      </c>
    </row>
    <row r="526" spans="1:14">
      <c r="A526" t="s">
        <v>27</v>
      </c>
      <c r="B526" t="s">
        <v>76</v>
      </c>
      <c r="C526">
        <v>2021</v>
      </c>
      <c r="D526">
        <v>4.7</v>
      </c>
      <c r="E526">
        <v>454</v>
      </c>
      <c r="F526">
        <v>384</v>
      </c>
      <c r="G526">
        <v>4.8</v>
      </c>
      <c r="H526" s="4">
        <v>134300</v>
      </c>
      <c r="I526" s="8" t="str" cm="1">
        <f t="array" ref="I526">_xlfn.IFS(H526&lt;50000,"Under $50K", H526&lt;100000,"$50K–$100K",
     H526&lt;200000,"$100K–$200K", H526&lt;500000,"$200K–$500K",
     H526&gt;=500000,"$500K+")</f>
        <v>$100K–$200K</v>
      </c>
      <c r="J526" s="9" t="str">
        <f t="shared" si="40"/>
        <v>2020s</v>
      </c>
      <c r="K526">
        <f t="shared" si="41"/>
        <v>2.7803238619003971E-2</v>
      </c>
      <c r="L526">
        <f t="shared" si="42"/>
        <v>0.22170900692840648</v>
      </c>
      <c r="M526">
        <f t="shared" si="43"/>
        <v>0.36170212765957455</v>
      </c>
      <c r="N526">
        <f t="shared" si="44"/>
        <v>0.20373812440232833</v>
      </c>
    </row>
    <row r="527" spans="1:14">
      <c r="A527" t="s">
        <v>36</v>
      </c>
      <c r="B527" t="s">
        <v>148</v>
      </c>
      <c r="C527">
        <v>2021</v>
      </c>
      <c r="D527" t="s">
        <v>85</v>
      </c>
      <c r="E527">
        <v>616</v>
      </c>
      <c r="F527">
        <v>774</v>
      </c>
      <c r="G527">
        <v>2.6</v>
      </c>
      <c r="H527" s="4">
        <v>185000</v>
      </c>
      <c r="I527" s="8" t="str" cm="1">
        <f t="array" ref="I527">_xlfn.IFS(H527&lt;50000,"Under $50K", H527&lt;100000,"$50K–$100K",
     H527&lt;200000,"$100K–$200K", H527&lt;500000,"$200K–$500K",
     H527&gt;=500000,"$500K+")</f>
        <v>$100K–$200K</v>
      </c>
      <c r="J527" s="9" t="str">
        <f t="shared" si="40"/>
        <v>2020s</v>
      </c>
      <c r="K527">
        <f t="shared" si="41"/>
        <v>4.4301863733577758E-2</v>
      </c>
      <c r="L527">
        <f t="shared" si="42"/>
        <v>0.44688221709006931</v>
      </c>
      <c r="M527">
        <f t="shared" si="43"/>
        <v>0.82978723404255317</v>
      </c>
      <c r="N527">
        <f t="shared" si="44"/>
        <v>0.44032377162206676</v>
      </c>
    </row>
    <row r="528" spans="1:14">
      <c r="A528" t="s">
        <v>37</v>
      </c>
      <c r="B528" t="s">
        <v>140</v>
      </c>
      <c r="C528">
        <v>2022</v>
      </c>
      <c r="D528" t="s">
        <v>85</v>
      </c>
      <c r="E528">
        <v>1914</v>
      </c>
      <c r="F528">
        <v>1696</v>
      </c>
      <c r="G528">
        <v>1.9</v>
      </c>
      <c r="H528" s="4">
        <v>2400000</v>
      </c>
      <c r="I528" s="8" t="str" cm="1">
        <f t="array" ref="I528">_xlfn.IFS(H528&lt;50000,"Under $50K", H528&lt;100000,"$50K–$100K",
     H528&lt;200000,"$100K–$200K", H528&lt;500000,"$200K–$500K",
     H528&gt;=500000,"$500K+")</f>
        <v>$500K+</v>
      </c>
      <c r="J528" s="9" t="str">
        <f t="shared" si="40"/>
        <v>2020s</v>
      </c>
      <c r="K528">
        <f t="shared" si="41"/>
        <v>0.1764945513799776</v>
      </c>
      <c r="L528">
        <f t="shared" si="42"/>
        <v>0.97921478060046185</v>
      </c>
      <c r="M528">
        <f t="shared" si="43"/>
        <v>0.97872340425531923</v>
      </c>
      <c r="N528">
        <f t="shared" si="44"/>
        <v>0.71147757874525297</v>
      </c>
    </row>
    <row r="529" spans="1:14">
      <c r="A529" t="s">
        <v>41</v>
      </c>
      <c r="B529" t="s">
        <v>143</v>
      </c>
      <c r="C529">
        <v>2022</v>
      </c>
      <c r="D529" t="s">
        <v>85</v>
      </c>
      <c r="E529">
        <v>1020</v>
      </c>
      <c r="F529">
        <v>1050</v>
      </c>
      <c r="G529">
        <v>1.98</v>
      </c>
      <c r="H529" s="4">
        <v>140000</v>
      </c>
      <c r="I529" s="8" t="str" cm="1">
        <f t="array" ref="I529">_xlfn.IFS(H529&lt;50000,"Under $50K", H529&lt;100000,"$50K–$100K",
     H529&lt;200000,"$100K–$200K", H529&lt;500000,"$200K–$500K",
     H529&gt;=500000,"$500K+")</f>
        <v>$100K–$200K</v>
      </c>
      <c r="J529" s="9" t="str">
        <f t="shared" si="40"/>
        <v>2020s</v>
      </c>
      <c r="K529">
        <f t="shared" si="41"/>
        <v>8.5446583155107447E-2</v>
      </c>
      <c r="L529">
        <f t="shared" si="42"/>
        <v>0.60623556581986138</v>
      </c>
      <c r="M529">
        <f t="shared" si="43"/>
        <v>0.96170212765957452</v>
      </c>
      <c r="N529">
        <f t="shared" si="44"/>
        <v>0.55112809221151438</v>
      </c>
    </row>
    <row r="530" spans="1:14">
      <c r="A530" t="s">
        <v>29</v>
      </c>
      <c r="B530" t="s">
        <v>81</v>
      </c>
      <c r="C530">
        <v>2022</v>
      </c>
      <c r="D530">
        <v>3</v>
      </c>
      <c r="E530">
        <v>671</v>
      </c>
      <c r="F530">
        <v>531</v>
      </c>
      <c r="G530">
        <v>3</v>
      </c>
      <c r="H530" s="4">
        <v>225000</v>
      </c>
      <c r="I530" s="8" t="str" cm="1">
        <f t="array" ref="I530">_xlfn.IFS(H530&lt;50000,"Under $50K", H530&lt;100000,"$50K–$100K",
     H530&lt;200000,"$100K–$200K", H530&lt;500000,"$200K–$500K",
     H530&gt;=500000,"$500K+")</f>
        <v>$200K–$500K</v>
      </c>
      <c r="J530" s="9" t="str">
        <f t="shared" si="40"/>
        <v>2020s</v>
      </c>
      <c r="K530">
        <f t="shared" si="41"/>
        <v>4.9903248803340461E-2</v>
      </c>
      <c r="L530">
        <f t="shared" si="42"/>
        <v>0.30658198614318705</v>
      </c>
      <c r="M530">
        <f t="shared" si="43"/>
        <v>0.74468085106382986</v>
      </c>
      <c r="N530">
        <f t="shared" si="44"/>
        <v>0.36705536200345246</v>
      </c>
    </row>
    <row r="531" spans="1:14">
      <c r="A531" t="s">
        <v>31</v>
      </c>
      <c r="B531" t="s">
        <v>192</v>
      </c>
      <c r="C531">
        <v>2021</v>
      </c>
      <c r="D531">
        <v>4</v>
      </c>
      <c r="E531">
        <v>720</v>
      </c>
      <c r="F531">
        <v>590</v>
      </c>
      <c r="G531">
        <v>3.1</v>
      </c>
      <c r="H531" s="4">
        <v>325000</v>
      </c>
      <c r="I531" s="8" t="str" cm="1">
        <f t="array" ref="I531">_xlfn.IFS(H531&lt;50000,"Under $50K", H531&lt;100000,"$50K–$100K",
     H531&lt;200000,"$100K–$200K", H531&lt;500000,"$200K–$500K",
     H531&gt;=500000,"$500K+")</f>
        <v>$200K–$500K</v>
      </c>
      <c r="J531" s="9" t="str">
        <f t="shared" si="40"/>
        <v>2020s</v>
      </c>
      <c r="K531">
        <f t="shared" si="41"/>
        <v>5.4893573683674507E-2</v>
      </c>
      <c r="L531">
        <f t="shared" si="42"/>
        <v>0.34064665127020788</v>
      </c>
      <c r="M531">
        <f t="shared" si="43"/>
        <v>0.72340425531914887</v>
      </c>
      <c r="N531">
        <f t="shared" si="44"/>
        <v>0.37298149342434378</v>
      </c>
    </row>
    <row r="532" spans="1:14">
      <c r="A532" t="s">
        <v>17</v>
      </c>
      <c r="B532" t="s">
        <v>91</v>
      </c>
      <c r="C532">
        <v>2021</v>
      </c>
      <c r="D532">
        <v>6.2</v>
      </c>
      <c r="E532">
        <v>650</v>
      </c>
      <c r="F532">
        <v>650</v>
      </c>
      <c r="G532">
        <v>3.5</v>
      </c>
      <c r="H532" s="4">
        <v>63000</v>
      </c>
      <c r="I532" s="8" t="str" cm="1">
        <f t="array" ref="I532">_xlfn.IFS(H532&lt;50000,"Under $50K", H532&lt;100000,"$50K–$100K",
     H532&lt;200000,"$100K–$200K", H532&lt;500000,"$200K–$500K",
     H532&gt;=500000,"$500K+")</f>
        <v>$50K–$100K</v>
      </c>
      <c r="J532" s="9" t="str">
        <f t="shared" si="40"/>
        <v>2020s</v>
      </c>
      <c r="K532">
        <f t="shared" si="41"/>
        <v>4.7764538140340158E-2</v>
      </c>
      <c r="L532">
        <f t="shared" si="42"/>
        <v>0.37528868360277134</v>
      </c>
      <c r="M532">
        <f t="shared" si="43"/>
        <v>0.63829787234042556</v>
      </c>
      <c r="N532">
        <f t="shared" si="44"/>
        <v>0.35378369802784571</v>
      </c>
    </row>
    <row r="533" spans="1:14">
      <c r="A533" t="s">
        <v>20</v>
      </c>
      <c r="B533" t="s">
        <v>92</v>
      </c>
      <c r="C533">
        <v>2021</v>
      </c>
      <c r="D533">
        <v>3.5</v>
      </c>
      <c r="E533">
        <v>647</v>
      </c>
      <c r="F533">
        <v>550</v>
      </c>
      <c r="G533">
        <v>3</v>
      </c>
      <c r="H533" s="4">
        <v>500000</v>
      </c>
      <c r="I533" s="8" t="str" cm="1">
        <f t="array" ref="I533">_xlfn.IFS(H533&lt;50000,"Under $50K", H533&lt;100000,"$50K–$100K",
     H533&lt;200000,"$100K–$200K", H533&lt;500000,"$200K–$500K",
     H533&gt;=500000,"$500K+")</f>
        <v>$500K+</v>
      </c>
      <c r="J533" s="9" t="str">
        <f t="shared" si="40"/>
        <v>2020s</v>
      </c>
      <c r="K533">
        <f t="shared" si="41"/>
        <v>4.7459008045625826E-2</v>
      </c>
      <c r="L533">
        <f t="shared" si="42"/>
        <v>0.31755196304849886</v>
      </c>
      <c r="M533">
        <f t="shared" si="43"/>
        <v>0.74468085106382986</v>
      </c>
      <c r="N533">
        <f t="shared" si="44"/>
        <v>0.36989727405265155</v>
      </c>
    </row>
    <row r="534" spans="1:14">
      <c r="A534" t="s">
        <v>12</v>
      </c>
      <c r="B534" t="s">
        <v>132</v>
      </c>
      <c r="C534">
        <v>2021</v>
      </c>
      <c r="D534">
        <v>5.2</v>
      </c>
      <c r="E534">
        <v>715</v>
      </c>
      <c r="F534">
        <v>664</v>
      </c>
      <c r="G534">
        <v>3.4</v>
      </c>
      <c r="H534" s="4">
        <v>307820</v>
      </c>
      <c r="I534" s="8" t="str" cm="1">
        <f t="array" ref="I534">_xlfn.IFS(H534&lt;50000,"Under $50K", H534&lt;100000,"$50K–$100K",
     H534&lt;200000,"$100K–$200K", H534&lt;500000,"$200K–$500K",
     H534&gt;=500000,"$500K+")</f>
        <v>$200K–$500K</v>
      </c>
      <c r="J534" s="9" t="str">
        <f t="shared" si="40"/>
        <v>2020s</v>
      </c>
      <c r="K534">
        <f t="shared" si="41"/>
        <v>5.4384356859150627E-2</v>
      </c>
      <c r="L534">
        <f t="shared" si="42"/>
        <v>0.38337182448036949</v>
      </c>
      <c r="M534">
        <f t="shared" si="43"/>
        <v>0.65957446808510645</v>
      </c>
      <c r="N534">
        <f t="shared" si="44"/>
        <v>0.36577688314154216</v>
      </c>
    </row>
    <row r="535" spans="1:14">
      <c r="A535" t="s">
        <v>21</v>
      </c>
      <c r="B535" t="s">
        <v>72</v>
      </c>
      <c r="C535">
        <v>2022</v>
      </c>
      <c r="D535">
        <v>5</v>
      </c>
      <c r="E535">
        <v>575</v>
      </c>
      <c r="F535">
        <v>516</v>
      </c>
      <c r="G535">
        <v>3.5</v>
      </c>
      <c r="H535" s="4">
        <v>103200</v>
      </c>
      <c r="I535" s="8" t="str" cm="1">
        <f t="array" ref="I535">_xlfn.IFS(H535&lt;50000,"Under $50K", H535&lt;100000,"$50K–$100K",
     H535&lt;200000,"$100K–$200K", H535&lt;500000,"$200K–$500K",
     H535&gt;=500000,"$500K+")</f>
        <v>$100K–$200K</v>
      </c>
      <c r="J535" s="9" t="str">
        <f t="shared" si="40"/>
        <v>2020s</v>
      </c>
      <c r="K535">
        <f t="shared" si="41"/>
        <v>4.0126285772481923E-2</v>
      </c>
      <c r="L535">
        <f t="shared" si="42"/>
        <v>0.29792147806004621</v>
      </c>
      <c r="M535">
        <f t="shared" si="43"/>
        <v>0.63829787234042556</v>
      </c>
      <c r="N535">
        <f t="shared" si="44"/>
        <v>0.32544854539098456</v>
      </c>
    </row>
    <row r="536" spans="1:14">
      <c r="A536" t="s">
        <v>18</v>
      </c>
      <c r="B536" t="s">
        <v>114</v>
      </c>
      <c r="C536">
        <v>2021</v>
      </c>
      <c r="D536">
        <v>6.2</v>
      </c>
      <c r="E536">
        <v>797</v>
      </c>
      <c r="F536">
        <v>707</v>
      </c>
      <c r="G536">
        <v>3.5</v>
      </c>
      <c r="H536" s="4">
        <v>80190</v>
      </c>
      <c r="I536" s="8" t="str" cm="1">
        <f t="array" ref="I536">_xlfn.IFS(H536&lt;50000,"Under $50K", H536&lt;100000,"$50K–$100K",
     H536&lt;200000,"$100K–$200K", H536&lt;500000,"$200K–$500K",
     H536&gt;=500000,"$500K+")</f>
        <v>$50K–$100K</v>
      </c>
      <c r="J536" s="9" t="str">
        <f t="shared" si="40"/>
        <v>2020s</v>
      </c>
      <c r="K536">
        <f t="shared" si="41"/>
        <v>6.273551278134229E-2</v>
      </c>
      <c r="L536">
        <f t="shared" si="42"/>
        <v>0.40819861431870669</v>
      </c>
      <c r="M536">
        <f t="shared" si="43"/>
        <v>0.63829787234042556</v>
      </c>
      <c r="N536">
        <f t="shared" si="44"/>
        <v>0.36974399981349154</v>
      </c>
    </row>
    <row r="537" spans="1:14">
      <c r="A537" t="s">
        <v>26</v>
      </c>
      <c r="B537" t="s">
        <v>75</v>
      </c>
      <c r="C537">
        <v>2022</v>
      </c>
      <c r="D537">
        <v>3.5</v>
      </c>
      <c r="E537">
        <v>416</v>
      </c>
      <c r="F537">
        <v>317</v>
      </c>
      <c r="G537">
        <v>3.8</v>
      </c>
      <c r="H537" s="4">
        <v>105000</v>
      </c>
      <c r="I537" s="8" t="str" cm="1">
        <f t="array" ref="I537">_xlfn.IFS(H537&lt;50000,"Under $50K", H537&lt;100000,"$50K–$100K",
     H537&lt;200000,"$100K–$200K", H537&lt;500000,"$200K–$500K",
     H537&gt;=500000,"$500K+")</f>
        <v>$100K–$200K</v>
      </c>
      <c r="J537" s="9" t="str">
        <f t="shared" si="40"/>
        <v>2020s</v>
      </c>
      <c r="K537">
        <f t="shared" si="41"/>
        <v>2.3933190752622468E-2</v>
      </c>
      <c r="L537">
        <f t="shared" si="42"/>
        <v>0.18302540415704388</v>
      </c>
      <c r="M537">
        <f t="shared" si="43"/>
        <v>0.57446808510638303</v>
      </c>
      <c r="N537">
        <f t="shared" si="44"/>
        <v>0.26047556000534983</v>
      </c>
    </row>
    <row r="538" spans="1:14">
      <c r="A538" t="s">
        <v>9</v>
      </c>
      <c r="B538" t="s">
        <v>200</v>
      </c>
      <c r="C538">
        <v>2020</v>
      </c>
      <c r="D538">
        <v>1.8</v>
      </c>
      <c r="E538">
        <v>237</v>
      </c>
      <c r="F538">
        <v>258</v>
      </c>
      <c r="G538">
        <v>4.0999999999999996</v>
      </c>
      <c r="H538" s="4">
        <v>68745</v>
      </c>
      <c r="I538" s="8" t="str" cm="1">
        <f t="array" ref="I538">_xlfn.IFS(H538&lt;50000,"Under $50K", H538&lt;100000,"$50K–$100K",
     H538&lt;200000,"$100K–$200K", H538&lt;500000,"$200K–$500K",
     H538&gt;=500000,"$500K+")</f>
        <v>$50K–$100K</v>
      </c>
      <c r="J538" s="9" t="str">
        <f t="shared" si="40"/>
        <v>2020s</v>
      </c>
      <c r="K538">
        <f t="shared" si="41"/>
        <v>5.7032284346674811E-3</v>
      </c>
      <c r="L538">
        <f t="shared" si="42"/>
        <v>0.1489607390300231</v>
      </c>
      <c r="M538">
        <f t="shared" si="43"/>
        <v>0.5106382978723405</v>
      </c>
      <c r="N538">
        <f t="shared" si="44"/>
        <v>0.22176742177901035</v>
      </c>
    </row>
    <row r="539" spans="1:14">
      <c r="A539" t="s">
        <v>40</v>
      </c>
      <c r="B539" t="s">
        <v>163</v>
      </c>
      <c r="C539">
        <v>2022</v>
      </c>
      <c r="D539">
        <v>2.5</v>
      </c>
      <c r="E539">
        <v>310</v>
      </c>
      <c r="F539">
        <v>290</v>
      </c>
      <c r="G539">
        <v>5.2</v>
      </c>
      <c r="H539" s="4">
        <v>38170</v>
      </c>
      <c r="I539" s="8" t="str" cm="1">
        <f t="array" ref="I539">_xlfn.IFS(H539&lt;50000,"Under $50K", H539&lt;100000,"$50K–$100K",
     H539&lt;200000,"$100K–$200K", H539&lt;500000,"$200K–$500K",
     H539&gt;=500000,"$500K+")</f>
        <v>Under $50K</v>
      </c>
      <c r="J539" s="9" t="str">
        <f t="shared" si="40"/>
        <v>2020s</v>
      </c>
      <c r="K539">
        <f t="shared" si="41"/>
        <v>1.3137794072716162E-2</v>
      </c>
      <c r="L539">
        <f t="shared" si="42"/>
        <v>0.1674364896073903</v>
      </c>
      <c r="M539">
        <f t="shared" si="43"/>
        <v>0.27659574468085102</v>
      </c>
      <c r="N539">
        <f t="shared" si="44"/>
        <v>0.1523900094536525</v>
      </c>
    </row>
    <row r="540" spans="1:14">
      <c r="A540" t="s">
        <v>8</v>
      </c>
      <c r="B540" t="s">
        <v>123</v>
      </c>
      <c r="C540">
        <v>2022</v>
      </c>
      <c r="D540">
        <v>3.5</v>
      </c>
      <c r="E540">
        <v>573</v>
      </c>
      <c r="F540">
        <v>476</v>
      </c>
      <c r="G540">
        <v>2.7</v>
      </c>
      <c r="H540" s="4">
        <v>157500</v>
      </c>
      <c r="I540" s="8" t="str" cm="1">
        <f t="array" ref="I540">_xlfn.IFS(H540&lt;50000,"Under $50K", H540&lt;100000,"$50K–$100K",
     H540&lt;200000,"$100K–$200K", H540&lt;500000,"$200K–$500K",
     H540&gt;=500000,"$500K+")</f>
        <v>$100K–$200K</v>
      </c>
      <c r="J540" s="9" t="str">
        <f t="shared" si="40"/>
        <v>2020s</v>
      </c>
      <c r="K540">
        <f t="shared" si="41"/>
        <v>3.9922599042672369E-2</v>
      </c>
      <c r="L540">
        <f t="shared" si="42"/>
        <v>0.27482678983833719</v>
      </c>
      <c r="M540">
        <f t="shared" si="43"/>
        <v>0.80851063829787229</v>
      </c>
      <c r="N540">
        <f t="shared" si="44"/>
        <v>0.3744200090596273</v>
      </c>
    </row>
    <row r="541" spans="1:14">
      <c r="A541" t="s">
        <v>23</v>
      </c>
      <c r="B541" t="s">
        <v>73</v>
      </c>
      <c r="C541">
        <v>2021</v>
      </c>
      <c r="D541">
        <v>5</v>
      </c>
      <c r="E541">
        <v>1280</v>
      </c>
      <c r="F541">
        <v>1015</v>
      </c>
      <c r="G541">
        <v>2.5</v>
      </c>
      <c r="H541" s="4">
        <v>2800000</v>
      </c>
      <c r="I541" s="8" t="str" cm="1">
        <f t="array" ref="I541">_xlfn.IFS(H541&lt;50000,"Under $50K", H541&lt;100000,"$50K–$100K",
     H541&lt;200000,"$100K–$200K", H541&lt;500000,"$200K–$500K",
     H541&gt;=500000,"$500K+")</f>
        <v>$500K+</v>
      </c>
      <c r="J541" s="9" t="str">
        <f t="shared" si="40"/>
        <v>2020s</v>
      </c>
      <c r="K541">
        <f t="shared" si="41"/>
        <v>0.11192585803034932</v>
      </c>
      <c r="L541">
        <f t="shared" si="42"/>
        <v>0.58602771362586603</v>
      </c>
      <c r="M541">
        <f t="shared" si="43"/>
        <v>0.85106382978723405</v>
      </c>
      <c r="N541">
        <f t="shared" si="44"/>
        <v>0.51633913381448304</v>
      </c>
    </row>
    <row r="542" spans="1:14">
      <c r="A542" t="s">
        <v>41</v>
      </c>
      <c r="B542" t="s">
        <v>143</v>
      </c>
      <c r="C542">
        <v>2022</v>
      </c>
      <c r="D542" t="s">
        <v>85</v>
      </c>
      <c r="E542">
        <v>1020</v>
      </c>
      <c r="F542">
        <v>1050</v>
      </c>
      <c r="G542">
        <v>1.98</v>
      </c>
      <c r="H542" s="4">
        <v>139990</v>
      </c>
      <c r="I542" s="8" t="str" cm="1">
        <f t="array" ref="I542">_xlfn.IFS(H542&lt;50000,"Under $50K", H542&lt;100000,"$50K–$100K",
     H542&lt;200000,"$100K–$200K", H542&lt;500000,"$200K–$500K",
     H542&gt;=500000,"$500K+")</f>
        <v>$100K–$200K</v>
      </c>
      <c r="J542" s="9" t="str">
        <f t="shared" si="40"/>
        <v>2020s</v>
      </c>
      <c r="K542">
        <f t="shared" si="41"/>
        <v>8.5446583155107447E-2</v>
      </c>
      <c r="L542">
        <f t="shared" si="42"/>
        <v>0.60623556581986138</v>
      </c>
      <c r="M542">
        <f t="shared" si="43"/>
        <v>0.96170212765957452</v>
      </c>
      <c r="N542">
        <f t="shared" si="44"/>
        <v>0.55112809221151438</v>
      </c>
    </row>
    <row r="543" spans="1:14">
      <c r="A543" t="s">
        <v>16</v>
      </c>
      <c r="B543" t="s">
        <v>207</v>
      </c>
      <c r="C543">
        <v>2022</v>
      </c>
      <c r="D543">
        <v>8</v>
      </c>
      <c r="E543">
        <v>1578</v>
      </c>
      <c r="F543">
        <v>1180</v>
      </c>
      <c r="G543">
        <v>2.2999999999999998</v>
      </c>
      <c r="H543" s="4">
        <v>5200000</v>
      </c>
      <c r="I543" s="8" t="str" cm="1">
        <f t="array" ref="I543">_xlfn.IFS(H543&lt;50000,"Under $50K", H543&lt;100000,"$50K–$100K",
     H543&lt;200000,"$100K–$200K", H543&lt;500000,"$200K–$500K",
     H543&gt;=500000,"$500K+")</f>
        <v>$500K+</v>
      </c>
      <c r="J543" s="9" t="str">
        <f t="shared" si="40"/>
        <v>2020s</v>
      </c>
      <c r="K543">
        <f t="shared" si="41"/>
        <v>0.14227518077197271</v>
      </c>
      <c r="L543">
        <f t="shared" si="42"/>
        <v>0.68129330254041576</v>
      </c>
      <c r="M543">
        <f t="shared" si="43"/>
        <v>0.89361702127659581</v>
      </c>
      <c r="N543">
        <f t="shared" si="44"/>
        <v>0.57239516819632807</v>
      </c>
    </row>
    <row r="544" spans="1:14">
      <c r="A544" t="s">
        <v>29</v>
      </c>
      <c r="B544" t="s">
        <v>208</v>
      </c>
      <c r="C544">
        <v>2020</v>
      </c>
      <c r="D544">
        <v>4</v>
      </c>
      <c r="E544">
        <v>789</v>
      </c>
      <c r="F544">
        <v>590</v>
      </c>
      <c r="G544">
        <v>2.7</v>
      </c>
      <c r="H544" s="4">
        <v>1500000</v>
      </c>
      <c r="I544" s="8" t="str" cm="1">
        <f t="array" ref="I544">_xlfn.IFS(H544&lt;50000,"Under $50K", H544&lt;100000,"$50K–$100K",
     H544&lt;200000,"$100K–$200K", H544&lt;500000,"$200K–$500K",
     H544&gt;=500000,"$500K+")</f>
        <v>$500K+</v>
      </c>
      <c r="J544" s="9" t="str">
        <f t="shared" si="40"/>
        <v>2020s</v>
      </c>
      <c r="K544">
        <f t="shared" si="41"/>
        <v>6.1920765862104085E-2</v>
      </c>
      <c r="L544">
        <f t="shared" si="42"/>
        <v>0.34064665127020788</v>
      </c>
      <c r="M544">
        <f t="shared" si="43"/>
        <v>0.80851063829787229</v>
      </c>
      <c r="N544">
        <f t="shared" si="44"/>
        <v>0.40369268514339479</v>
      </c>
    </row>
    <row r="545" spans="1:14">
      <c r="A545" t="s">
        <v>36</v>
      </c>
      <c r="B545" t="s">
        <v>156</v>
      </c>
      <c r="C545">
        <v>2022</v>
      </c>
      <c r="D545" t="s">
        <v>85</v>
      </c>
      <c r="E545">
        <v>750</v>
      </c>
      <c r="F545">
        <v>774</v>
      </c>
      <c r="G545">
        <v>2.6</v>
      </c>
      <c r="H545" s="4">
        <v>185000</v>
      </c>
      <c r="I545" s="8" t="str" cm="1">
        <f t="array" ref="I545">_xlfn.IFS(H545&lt;50000,"Under $50K", H545&lt;100000,"$50K–$100K",
     H545&lt;200000,"$100K–$200K", H545&lt;500000,"$200K–$500K",
     H545&gt;=500000,"$500K+")</f>
        <v>$100K–$200K</v>
      </c>
      <c r="J545" s="9" t="str">
        <f t="shared" si="40"/>
        <v>2020s</v>
      </c>
      <c r="K545">
        <f t="shared" si="41"/>
        <v>5.7948874630817805E-2</v>
      </c>
      <c r="L545">
        <f t="shared" si="42"/>
        <v>0.44688221709006931</v>
      </c>
      <c r="M545">
        <f t="shared" si="43"/>
        <v>0.82978723404255317</v>
      </c>
      <c r="N545">
        <f t="shared" si="44"/>
        <v>0.4448727752544801</v>
      </c>
    </row>
    <row r="546" spans="1:14">
      <c r="A546" t="s">
        <v>31</v>
      </c>
      <c r="B546" t="s">
        <v>166</v>
      </c>
      <c r="C546">
        <v>2014</v>
      </c>
      <c r="D546">
        <v>6.2</v>
      </c>
      <c r="E546">
        <v>622</v>
      </c>
      <c r="F546">
        <v>468</v>
      </c>
      <c r="G546">
        <v>3.5</v>
      </c>
      <c r="H546" s="4">
        <v>275000</v>
      </c>
      <c r="I546" s="8" t="str" cm="1">
        <f t="array" ref="I546">_xlfn.IFS(H546&lt;50000,"Under $50K", H546&lt;100000,"$50K–$100K",
     H546&lt;200000,"$100K–$200K", H546&lt;500000,"$200K–$500K",
     H546&gt;=500000,"$500K+")</f>
        <v>$200K–$500K</v>
      </c>
      <c r="J546" s="9" t="str">
        <f t="shared" si="40"/>
        <v>2010s</v>
      </c>
      <c r="K546">
        <f t="shared" si="41"/>
        <v>4.4912923923006415E-2</v>
      </c>
      <c r="L546">
        <f t="shared" si="42"/>
        <v>0.2702078521939954</v>
      </c>
      <c r="M546">
        <f t="shared" si="43"/>
        <v>0.63829787234042556</v>
      </c>
      <c r="N546">
        <f t="shared" si="44"/>
        <v>0.31780621615247578</v>
      </c>
    </row>
    <row r="547" spans="1:14">
      <c r="A547" t="s">
        <v>25</v>
      </c>
      <c r="B547" t="s">
        <v>74</v>
      </c>
      <c r="C547">
        <v>2022</v>
      </c>
      <c r="D547">
        <v>5</v>
      </c>
      <c r="E547">
        <v>471</v>
      </c>
      <c r="F547">
        <v>398</v>
      </c>
      <c r="G547">
        <v>4.4000000000000004</v>
      </c>
      <c r="H547" s="4">
        <v>93050</v>
      </c>
      <c r="I547" s="8" t="str" cm="1">
        <f t="array" ref="I547">_xlfn.IFS(H547&lt;50000,"Under $50K", H547&lt;100000,"$50K–$100K",
     H547&lt;200000,"$100K–$200K", H547&lt;500000,"$200K–$500K",
     H547&gt;=500000,"$500K+")</f>
        <v>$50K–$100K</v>
      </c>
      <c r="J547" s="9" t="str">
        <f t="shared" si="40"/>
        <v>2020s</v>
      </c>
      <c r="K547">
        <f t="shared" si="41"/>
        <v>2.9534575822385171E-2</v>
      </c>
      <c r="L547">
        <f t="shared" si="42"/>
        <v>0.22979214780600463</v>
      </c>
      <c r="M547">
        <f t="shared" si="43"/>
        <v>0.44680851063829774</v>
      </c>
      <c r="N547">
        <f t="shared" si="44"/>
        <v>0.23537841142222918</v>
      </c>
    </row>
    <row r="548" spans="1:14">
      <c r="A548" t="s">
        <v>17</v>
      </c>
      <c r="B548" t="s">
        <v>91</v>
      </c>
      <c r="C548">
        <v>2022</v>
      </c>
      <c r="D548">
        <v>6.2</v>
      </c>
      <c r="E548">
        <v>650</v>
      </c>
      <c r="F548">
        <v>650</v>
      </c>
      <c r="G548">
        <v>3.5</v>
      </c>
      <c r="H548" s="4">
        <v>65000</v>
      </c>
      <c r="I548" s="8" t="str" cm="1">
        <f t="array" ref="I548">_xlfn.IFS(H548&lt;50000,"Under $50K", H548&lt;100000,"$50K–$100K",
     H548&lt;200000,"$100K–$200K", H548&lt;500000,"$200K–$500K",
     H548&gt;=500000,"$500K+")</f>
        <v>$50K–$100K</v>
      </c>
      <c r="J548" s="9" t="str">
        <f t="shared" si="40"/>
        <v>2020s</v>
      </c>
      <c r="K548">
        <f t="shared" si="41"/>
        <v>4.7764538140340158E-2</v>
      </c>
      <c r="L548">
        <f t="shared" si="42"/>
        <v>0.37528868360277134</v>
      </c>
      <c r="M548">
        <f t="shared" si="43"/>
        <v>0.63829787234042556</v>
      </c>
      <c r="N548">
        <f t="shared" si="44"/>
        <v>0.35378369802784571</v>
      </c>
    </row>
    <row r="549" spans="1:14">
      <c r="A549" t="s">
        <v>13</v>
      </c>
      <c r="B549" t="s">
        <v>209</v>
      </c>
      <c r="C549">
        <v>2022</v>
      </c>
      <c r="D549">
        <v>4</v>
      </c>
      <c r="E549">
        <v>591</v>
      </c>
      <c r="F549">
        <v>590</v>
      </c>
      <c r="G549">
        <v>3.5</v>
      </c>
      <c r="H549" s="4">
        <v>114000</v>
      </c>
      <c r="I549" s="8" t="str" cm="1">
        <f t="array" ref="I549">_xlfn.IFS(H549&lt;50000,"Under $50K", H549&lt;100000,"$50K–$100K",
     H549&lt;200000,"$100K–$200K", H549&lt;500000,"$200K–$500K",
     H549&gt;=500000,"$500K+")</f>
        <v>$100K–$200K</v>
      </c>
      <c r="J549" s="9" t="str">
        <f t="shared" si="40"/>
        <v>2020s</v>
      </c>
      <c r="K549">
        <f t="shared" si="41"/>
        <v>4.1755779610958346E-2</v>
      </c>
      <c r="L549">
        <f t="shared" si="42"/>
        <v>0.34064665127020788</v>
      </c>
      <c r="M549">
        <f t="shared" si="43"/>
        <v>0.63829787234042556</v>
      </c>
      <c r="N549">
        <f t="shared" si="44"/>
        <v>0.34023343440719728</v>
      </c>
    </row>
    <row r="550" spans="1:14">
      <c r="A550" t="s">
        <v>20</v>
      </c>
      <c r="B550" t="s">
        <v>92</v>
      </c>
      <c r="C550">
        <v>2022</v>
      </c>
      <c r="D550">
        <v>3.5</v>
      </c>
      <c r="E550">
        <v>660</v>
      </c>
      <c r="F550">
        <v>550</v>
      </c>
      <c r="G550">
        <v>3</v>
      </c>
      <c r="H550" s="4">
        <v>500000</v>
      </c>
      <c r="I550" s="8" t="str" cm="1">
        <f t="array" ref="I550">_xlfn.IFS(H550&lt;50000,"Under $50K", H550&lt;100000,"$50K–$100K",
     H550&lt;200000,"$100K–$200K", H550&lt;500000,"$200K–$500K",
     H550&gt;=500000,"$500K+")</f>
        <v>$500K+</v>
      </c>
      <c r="J550" s="9" t="str">
        <f t="shared" si="40"/>
        <v>2020s</v>
      </c>
      <c r="K550">
        <f t="shared" si="41"/>
        <v>4.8782971789387924E-2</v>
      </c>
      <c r="L550">
        <f t="shared" si="42"/>
        <v>0.31755196304849886</v>
      </c>
      <c r="M550">
        <f t="shared" si="43"/>
        <v>0.74468085106382986</v>
      </c>
      <c r="N550">
        <f t="shared" si="44"/>
        <v>0.37033859530057223</v>
      </c>
    </row>
    <row r="551" spans="1:14">
      <c r="A551" t="s">
        <v>15</v>
      </c>
      <c r="B551" t="s">
        <v>138</v>
      </c>
      <c r="C551">
        <v>2022</v>
      </c>
      <c r="D551">
        <v>3</v>
      </c>
      <c r="E551">
        <v>444</v>
      </c>
      <c r="F551">
        <v>406</v>
      </c>
      <c r="G551">
        <v>3.8</v>
      </c>
      <c r="H551" s="4">
        <v>84595</v>
      </c>
      <c r="I551" s="8" t="str" cm="1">
        <f t="array" ref="I551">_xlfn.IFS(H551&lt;50000,"Under $50K", H551&lt;100000,"$50K–$100K",
     H551&lt;200000,"$100K–$200K", H551&lt;500000,"$200K–$500K",
     H551&gt;=500000,"$500K+")</f>
        <v>$50K–$100K</v>
      </c>
      <c r="J551" s="9" t="str">
        <f t="shared" si="40"/>
        <v>2020s</v>
      </c>
      <c r="K551">
        <f t="shared" si="41"/>
        <v>2.6784804969956208E-2</v>
      </c>
      <c r="L551">
        <f t="shared" si="42"/>
        <v>0.23441108545034642</v>
      </c>
      <c r="M551">
        <f t="shared" si="43"/>
        <v>0.57446808510638303</v>
      </c>
      <c r="N551">
        <f t="shared" si="44"/>
        <v>0.27855465850889521</v>
      </c>
    </row>
    <row r="552" spans="1:14">
      <c r="A552" t="s">
        <v>36</v>
      </c>
      <c r="B552" t="s">
        <v>86</v>
      </c>
      <c r="C552">
        <v>2022</v>
      </c>
      <c r="D552">
        <v>4</v>
      </c>
      <c r="E552">
        <v>414</v>
      </c>
      <c r="F552">
        <v>309</v>
      </c>
      <c r="G552">
        <v>4.2</v>
      </c>
      <c r="H552" s="4">
        <v>102550</v>
      </c>
      <c r="I552" s="8" t="str" cm="1">
        <f t="array" ref="I552">_xlfn.IFS(H552&lt;50000,"Under $50K", H552&lt;100000,"$50K–$100K",
     H552&lt;200000,"$100K–$200K", H552&lt;500000,"$200K–$500K",
     H552&gt;=500000,"$500K+")</f>
        <v>$100K–$200K</v>
      </c>
      <c r="J552" s="9" t="str">
        <f t="shared" si="40"/>
        <v>2020s</v>
      </c>
      <c r="K552">
        <f t="shared" si="41"/>
        <v>2.3729504022812913E-2</v>
      </c>
      <c r="L552">
        <f t="shared" si="42"/>
        <v>0.17840646651270209</v>
      </c>
      <c r="M552">
        <f t="shared" si="43"/>
        <v>0.4893617021276595</v>
      </c>
      <c r="N552">
        <f t="shared" si="44"/>
        <v>0.23049922422105817</v>
      </c>
    </row>
    <row r="553" spans="1:14">
      <c r="A553" t="s">
        <v>24</v>
      </c>
      <c r="B553" t="s">
        <v>115</v>
      </c>
      <c r="C553">
        <v>2022</v>
      </c>
      <c r="D553">
        <v>6.5</v>
      </c>
      <c r="E553">
        <v>770</v>
      </c>
      <c r="F553">
        <v>531</v>
      </c>
      <c r="G553">
        <v>2.8</v>
      </c>
      <c r="H553" s="4">
        <v>393695</v>
      </c>
      <c r="I553" s="8" t="str" cm="1">
        <f t="array" ref="I553">_xlfn.IFS(H553&lt;50000,"Under $50K", H553&lt;100000,"$50K–$100K",
     H553&lt;200000,"$100K–$200K", H553&lt;500000,"$200K–$500K",
     H553&gt;=500000,"$500K+")</f>
        <v>$200K–$500K</v>
      </c>
      <c r="J553" s="9" t="str">
        <f t="shared" si="40"/>
        <v>2020s</v>
      </c>
      <c r="K553">
        <f t="shared" si="41"/>
        <v>5.998574192891333E-2</v>
      </c>
      <c r="L553">
        <f t="shared" si="42"/>
        <v>0.30658198614318705</v>
      </c>
      <c r="M553">
        <f t="shared" si="43"/>
        <v>0.78723404255319152</v>
      </c>
      <c r="N553">
        <f t="shared" si="44"/>
        <v>0.38460059020843063</v>
      </c>
    </row>
    <row r="554" spans="1:14">
      <c r="A554" t="s">
        <v>12</v>
      </c>
      <c r="B554" t="s">
        <v>107</v>
      </c>
      <c r="C554">
        <v>2021</v>
      </c>
      <c r="D554">
        <v>4</v>
      </c>
      <c r="E554">
        <v>503</v>
      </c>
      <c r="F554">
        <v>505</v>
      </c>
      <c r="G554">
        <v>3.6</v>
      </c>
      <c r="H554" s="4">
        <v>146000</v>
      </c>
      <c r="I554" s="8" t="str" cm="1">
        <f t="array" ref="I554">_xlfn.IFS(H554&lt;50000,"Under $50K", H554&lt;100000,"$50K–$100K",
     H554&lt;200000,"$100K–$200K", H554&lt;500000,"$200K–$500K",
     H554&gt;=500000,"$500K+")</f>
        <v>$100K–$200K</v>
      </c>
      <c r="J554" s="9" t="str">
        <f t="shared" si="40"/>
        <v>2020s</v>
      </c>
      <c r="K554">
        <f t="shared" si="41"/>
        <v>3.279356349933802E-2</v>
      </c>
      <c r="L554">
        <f t="shared" si="42"/>
        <v>0.29157043879907624</v>
      </c>
      <c r="M554">
        <f t="shared" si="43"/>
        <v>0.61702127659574468</v>
      </c>
      <c r="N554">
        <f t="shared" si="44"/>
        <v>0.31379509296471969</v>
      </c>
    </row>
    <row r="555" spans="1:14">
      <c r="A555" t="s">
        <v>26</v>
      </c>
      <c r="B555" t="s">
        <v>75</v>
      </c>
      <c r="C555">
        <v>2021</v>
      </c>
      <c r="D555">
        <v>3.5</v>
      </c>
      <c r="E555">
        <v>416</v>
      </c>
      <c r="F555">
        <v>317</v>
      </c>
      <c r="G555">
        <v>3.8</v>
      </c>
      <c r="H555" s="4">
        <v>96950</v>
      </c>
      <c r="I555" s="8" t="str" cm="1">
        <f t="array" ref="I555">_xlfn.IFS(H555&lt;50000,"Under $50K", H555&lt;100000,"$50K–$100K",
     H555&lt;200000,"$100K–$200K", H555&lt;500000,"$200K–$500K",
     H555&gt;=500000,"$500K+")</f>
        <v>$50K–$100K</v>
      </c>
      <c r="J555" s="9" t="str">
        <f t="shared" si="40"/>
        <v>2020s</v>
      </c>
      <c r="K555">
        <f t="shared" si="41"/>
        <v>2.3933190752622468E-2</v>
      </c>
      <c r="L555">
        <f t="shared" si="42"/>
        <v>0.18302540415704388</v>
      </c>
      <c r="M555">
        <f t="shared" si="43"/>
        <v>0.57446808510638303</v>
      </c>
      <c r="N555">
        <f t="shared" si="44"/>
        <v>0.26047556000534983</v>
      </c>
    </row>
    <row r="556" spans="1:14">
      <c r="A556" t="s">
        <v>36</v>
      </c>
      <c r="B556" t="s">
        <v>135</v>
      </c>
      <c r="C556">
        <v>2021</v>
      </c>
      <c r="D556">
        <v>4</v>
      </c>
      <c r="E556">
        <v>620</v>
      </c>
      <c r="F556">
        <v>604</v>
      </c>
      <c r="G556">
        <v>2.9</v>
      </c>
      <c r="H556" s="4">
        <v>180000</v>
      </c>
      <c r="I556" s="8" t="str" cm="1">
        <f t="array" ref="I556">_xlfn.IFS(H556&lt;50000,"Under $50K", H556&lt;100000,"$50K–$100K",
     H556&lt;200000,"$100K–$200K", H556&lt;500000,"$200K–$500K",
     H556&gt;=500000,"$500K+")</f>
        <v>$100K–$200K</v>
      </c>
      <c r="J556" s="9" t="str">
        <f t="shared" si="40"/>
        <v>2020s</v>
      </c>
      <c r="K556">
        <f t="shared" si="41"/>
        <v>4.470923719319686E-2</v>
      </c>
      <c r="L556">
        <f t="shared" si="42"/>
        <v>0.34872979214780603</v>
      </c>
      <c r="M556">
        <f t="shared" si="43"/>
        <v>0.76595744680851063</v>
      </c>
      <c r="N556">
        <f t="shared" si="44"/>
        <v>0.38646549204983782</v>
      </c>
    </row>
    <row r="557" spans="1:14">
      <c r="A557" t="s">
        <v>24</v>
      </c>
      <c r="B557" t="s">
        <v>153</v>
      </c>
      <c r="C557">
        <v>2022</v>
      </c>
      <c r="D557">
        <v>6.5</v>
      </c>
      <c r="E557">
        <v>729</v>
      </c>
      <c r="F557">
        <v>507</v>
      </c>
      <c r="G557">
        <v>2.9</v>
      </c>
      <c r="H557" s="4">
        <v>460247</v>
      </c>
      <c r="I557" s="8" t="str" cm="1">
        <f t="array" ref="I557">_xlfn.IFS(H557&lt;50000,"Under $50K", H557&lt;100000,"$50K–$100K",
     H557&lt;200000,"$100K–$200K", H557&lt;500000,"$200K–$500K",
     H557&gt;=500000,"$500K+")</f>
        <v>$200K–$500K</v>
      </c>
      <c r="J557" s="9" t="str">
        <f t="shared" si="40"/>
        <v>2020s</v>
      </c>
      <c r="K557">
        <f t="shared" si="41"/>
        <v>5.5810163967817496E-2</v>
      </c>
      <c r="L557">
        <f t="shared" si="42"/>
        <v>0.29272517321016167</v>
      </c>
      <c r="M557">
        <f t="shared" si="43"/>
        <v>0.76595744680851063</v>
      </c>
      <c r="N557">
        <f t="shared" si="44"/>
        <v>0.37149759466216326</v>
      </c>
    </row>
    <row r="558" spans="1:14">
      <c r="A558" t="s">
        <v>19</v>
      </c>
      <c r="B558" t="s">
        <v>88</v>
      </c>
      <c r="C558">
        <v>2021</v>
      </c>
      <c r="D558">
        <v>4</v>
      </c>
      <c r="E558">
        <v>986</v>
      </c>
      <c r="F558">
        <v>590</v>
      </c>
      <c r="G558">
        <v>2.5</v>
      </c>
      <c r="H558" s="4">
        <v>625000</v>
      </c>
      <c r="I558" s="8" t="str" cm="1">
        <f t="array" ref="I558">_xlfn.IFS(H558&lt;50000,"Under $50K", H558&lt;100000,"$50K–$100K",
     H558&lt;200000,"$100K–$200K", H558&lt;500000,"$200K–$500K",
     H558&gt;=500000,"$500K+")</f>
        <v>$500K+</v>
      </c>
      <c r="J558" s="9" t="str">
        <f t="shared" si="40"/>
        <v>2020s</v>
      </c>
      <c r="K558">
        <f t="shared" si="41"/>
        <v>8.1983908748345047E-2</v>
      </c>
      <c r="L558">
        <f t="shared" si="42"/>
        <v>0.34064665127020788</v>
      </c>
      <c r="M558">
        <f t="shared" si="43"/>
        <v>0.85106382978723405</v>
      </c>
      <c r="N558">
        <f t="shared" si="44"/>
        <v>0.42456479660192903</v>
      </c>
    </row>
    <row r="559" spans="1:14">
      <c r="A559" t="s">
        <v>13</v>
      </c>
      <c r="B559" t="s">
        <v>150</v>
      </c>
      <c r="C559">
        <v>2022</v>
      </c>
      <c r="D559">
        <v>4</v>
      </c>
      <c r="E559">
        <v>591</v>
      </c>
      <c r="F559">
        <v>590</v>
      </c>
      <c r="G559">
        <v>3.1</v>
      </c>
      <c r="H559" s="4">
        <v>110045</v>
      </c>
      <c r="I559" s="8" t="str" cm="1">
        <f t="array" ref="I559">_xlfn.IFS(H559&lt;50000,"Under $50K", H559&lt;100000,"$50K–$100K",
     H559&lt;200000,"$100K–$200K", H559&lt;500000,"$200K–$500K",
     H559&gt;=500000,"$500K+")</f>
        <v>$100K–$200K</v>
      </c>
      <c r="J559" s="9" t="str">
        <f t="shared" si="40"/>
        <v>2020s</v>
      </c>
      <c r="K559">
        <f t="shared" si="41"/>
        <v>4.1755779610958346E-2</v>
      </c>
      <c r="L559">
        <f t="shared" si="42"/>
        <v>0.34064665127020788</v>
      </c>
      <c r="M559">
        <f t="shared" si="43"/>
        <v>0.72340425531914887</v>
      </c>
      <c r="N559">
        <f t="shared" si="44"/>
        <v>0.36860222873343834</v>
      </c>
    </row>
    <row r="560" spans="1:14">
      <c r="A560" t="s">
        <v>29</v>
      </c>
      <c r="B560" t="s">
        <v>103</v>
      </c>
      <c r="C560">
        <v>2021</v>
      </c>
      <c r="D560">
        <v>3.8</v>
      </c>
      <c r="E560">
        <v>562</v>
      </c>
      <c r="F560">
        <v>443</v>
      </c>
      <c r="G560">
        <v>3.1</v>
      </c>
      <c r="H560" s="4">
        <v>192500</v>
      </c>
      <c r="I560" s="8" t="str" cm="1">
        <f t="array" ref="I560">_xlfn.IFS(H560&lt;50000,"Under $50K", H560&lt;100000,"$50K–$100K",
     H560&lt;200000,"$100K–$200K", H560&lt;500000,"$200K–$500K",
     H560&gt;=500000,"$500K+")</f>
        <v>$100K–$200K</v>
      </c>
      <c r="J560" s="9" t="str">
        <f t="shared" si="40"/>
        <v>2020s</v>
      </c>
      <c r="K560">
        <f t="shared" si="41"/>
        <v>3.8802322028719832E-2</v>
      </c>
      <c r="L560">
        <f t="shared" si="42"/>
        <v>0.25577367205542723</v>
      </c>
      <c r="M560">
        <f t="shared" si="43"/>
        <v>0.72340425531914887</v>
      </c>
      <c r="N560">
        <f t="shared" si="44"/>
        <v>0.33932674980109861</v>
      </c>
    </row>
    <row r="561" spans="1:14">
      <c r="A561" t="s">
        <v>15</v>
      </c>
      <c r="B561" t="s">
        <v>111</v>
      </c>
      <c r="C561">
        <v>2022</v>
      </c>
      <c r="D561">
        <v>4.4000000000000004</v>
      </c>
      <c r="E561">
        <v>600</v>
      </c>
      <c r="F561">
        <v>553</v>
      </c>
      <c r="G561">
        <v>3.2</v>
      </c>
      <c r="H561" s="4">
        <v>103500</v>
      </c>
      <c r="I561" s="8" t="str" cm="1">
        <f t="array" ref="I561">_xlfn.IFS(H561&lt;50000,"Under $50K", H561&lt;100000,"$50K–$100K",
     H561&lt;200000,"$100K–$200K", H561&lt;500000,"$200K–$500K",
     H561&gt;=500000,"$500K+")</f>
        <v>$100K–$200K</v>
      </c>
      <c r="J561" s="9" t="str">
        <f t="shared" si="40"/>
        <v>2020s</v>
      </c>
      <c r="K561">
        <f t="shared" si="41"/>
        <v>4.2672369895101335E-2</v>
      </c>
      <c r="L561">
        <f t="shared" si="42"/>
        <v>0.31928406466512704</v>
      </c>
      <c r="M561">
        <f t="shared" si="43"/>
        <v>0.7021276595744681</v>
      </c>
      <c r="N561">
        <f t="shared" si="44"/>
        <v>0.35469469804489884</v>
      </c>
    </row>
    <row r="562" spans="1:14">
      <c r="A562" t="s">
        <v>31</v>
      </c>
      <c r="B562" t="s">
        <v>210</v>
      </c>
      <c r="C562">
        <v>2021</v>
      </c>
      <c r="D562">
        <v>4</v>
      </c>
      <c r="E562">
        <v>503</v>
      </c>
      <c r="F562">
        <v>516</v>
      </c>
      <c r="G562">
        <v>3.7</v>
      </c>
      <c r="H562" s="4">
        <v>77400</v>
      </c>
      <c r="I562" s="8" t="str" cm="1">
        <f t="array" ref="I562">_xlfn.IFS(H562&lt;50000,"Under $50K", H562&lt;100000,"$50K–$100K",
     H562&lt;200000,"$100K–$200K", H562&lt;500000,"$200K–$500K",
     H562&gt;=500000,"$500K+")</f>
        <v>$50K–$100K</v>
      </c>
      <c r="J562" s="9" t="str">
        <f t="shared" si="40"/>
        <v>2020s</v>
      </c>
      <c r="K562">
        <f t="shared" si="41"/>
        <v>3.279356349933802E-2</v>
      </c>
      <c r="L562">
        <f t="shared" si="42"/>
        <v>0.29792147806004621</v>
      </c>
      <c r="M562">
        <f t="shared" si="43"/>
        <v>0.5957446808510638</v>
      </c>
      <c r="N562">
        <f t="shared" si="44"/>
        <v>0.30881990747014937</v>
      </c>
    </row>
    <row r="563" spans="1:14">
      <c r="A563" t="s">
        <v>17</v>
      </c>
      <c r="B563" t="s">
        <v>91</v>
      </c>
      <c r="C563">
        <v>2021</v>
      </c>
      <c r="D563">
        <v>6.2</v>
      </c>
      <c r="E563">
        <v>650</v>
      </c>
      <c r="F563">
        <v>650</v>
      </c>
      <c r="G563">
        <v>3.5</v>
      </c>
      <c r="H563" s="4">
        <v>64695</v>
      </c>
      <c r="I563" s="8" t="str" cm="1">
        <f t="array" ref="I563">_xlfn.IFS(H563&lt;50000,"Under $50K", H563&lt;100000,"$50K–$100K",
     H563&lt;200000,"$100K–$200K", H563&lt;500000,"$200K–$500K",
     H563&gt;=500000,"$500K+")</f>
        <v>$50K–$100K</v>
      </c>
      <c r="J563" s="9" t="str">
        <f t="shared" si="40"/>
        <v>2020s</v>
      </c>
      <c r="K563">
        <f t="shared" si="41"/>
        <v>4.7764538140340158E-2</v>
      </c>
      <c r="L563">
        <f t="shared" si="42"/>
        <v>0.37528868360277134</v>
      </c>
      <c r="M563">
        <f t="shared" si="43"/>
        <v>0.63829787234042556</v>
      </c>
      <c r="N563">
        <f t="shared" si="44"/>
        <v>0.35378369802784571</v>
      </c>
    </row>
    <row r="564" spans="1:14">
      <c r="A564" t="s">
        <v>18</v>
      </c>
      <c r="B564" t="s">
        <v>71</v>
      </c>
      <c r="C564">
        <v>2021</v>
      </c>
      <c r="D564">
        <v>6.2</v>
      </c>
      <c r="E564">
        <v>717</v>
      </c>
      <c r="F564">
        <v>656</v>
      </c>
      <c r="G564">
        <v>3.5</v>
      </c>
      <c r="H564" s="4">
        <v>64195</v>
      </c>
      <c r="I564" s="8" t="str" cm="1">
        <f t="array" ref="I564">_xlfn.IFS(H564&lt;50000,"Under $50K", H564&lt;100000,"$50K–$100K",
     H564&lt;200000,"$100K–$200K", H564&lt;500000,"$200K–$500K",
     H564&gt;=500000,"$500K+")</f>
        <v>$50K–$100K</v>
      </c>
      <c r="J564" s="9" t="str">
        <f t="shared" si="40"/>
        <v>2020s</v>
      </c>
      <c r="K564">
        <f t="shared" si="41"/>
        <v>5.4588043588960182E-2</v>
      </c>
      <c r="L564">
        <f t="shared" si="42"/>
        <v>0.3787528868360277</v>
      </c>
      <c r="M564">
        <f t="shared" si="43"/>
        <v>0.63829787234042556</v>
      </c>
      <c r="N564">
        <f t="shared" si="44"/>
        <v>0.35721293425513778</v>
      </c>
    </row>
    <row r="565" spans="1:14">
      <c r="A565" t="s">
        <v>20</v>
      </c>
      <c r="B565" t="s">
        <v>92</v>
      </c>
      <c r="C565">
        <v>2021</v>
      </c>
      <c r="D565">
        <v>3.5</v>
      </c>
      <c r="E565">
        <v>660</v>
      </c>
      <c r="F565">
        <v>550</v>
      </c>
      <c r="G565">
        <v>3</v>
      </c>
      <c r="H565" s="4">
        <v>500000</v>
      </c>
      <c r="I565" s="8" t="str" cm="1">
        <f t="array" ref="I565">_xlfn.IFS(H565&lt;50000,"Under $50K", H565&lt;100000,"$50K–$100K",
     H565&lt;200000,"$100K–$200K", H565&lt;500000,"$200K–$500K",
     H565&gt;=500000,"$500K+")</f>
        <v>$500K+</v>
      </c>
      <c r="J565" s="9" t="str">
        <f t="shared" si="40"/>
        <v>2020s</v>
      </c>
      <c r="K565">
        <f t="shared" si="41"/>
        <v>4.8782971789387924E-2</v>
      </c>
      <c r="L565">
        <f t="shared" si="42"/>
        <v>0.31755196304849886</v>
      </c>
      <c r="M565">
        <f t="shared" si="43"/>
        <v>0.74468085106382986</v>
      </c>
      <c r="N565">
        <f t="shared" si="44"/>
        <v>0.37033859530057223</v>
      </c>
    </row>
    <row r="566" spans="1:14">
      <c r="A566" t="s">
        <v>32</v>
      </c>
      <c r="B566" t="s">
        <v>93</v>
      </c>
      <c r="C566">
        <v>2020</v>
      </c>
      <c r="D566">
        <v>3.7</v>
      </c>
      <c r="E566">
        <v>350</v>
      </c>
      <c r="F566">
        <v>276</v>
      </c>
      <c r="G566">
        <v>5</v>
      </c>
      <c r="H566" s="4">
        <v>46815</v>
      </c>
      <c r="I566" s="8" t="str" cm="1">
        <f t="array" ref="I566">_xlfn.IFS(H566&lt;50000,"Under $50K", H566&lt;100000,"$50K–$100K",
     H566&lt;200000,"$100K–$200K", H566&lt;500000,"$200K–$500K",
     H566&gt;=500000,"$500K+")</f>
        <v>Under $50K</v>
      </c>
      <c r="J566" s="9" t="str">
        <f t="shared" si="40"/>
        <v>2020s</v>
      </c>
      <c r="K566">
        <f t="shared" si="41"/>
        <v>1.7211528668907222E-2</v>
      </c>
      <c r="L566">
        <f t="shared" si="42"/>
        <v>0.15935334872979215</v>
      </c>
      <c r="M566">
        <f t="shared" si="43"/>
        <v>0.31914893617021278</v>
      </c>
      <c r="N566">
        <f t="shared" si="44"/>
        <v>0.16523793785630406</v>
      </c>
    </row>
    <row r="567" spans="1:14">
      <c r="A567" t="s">
        <v>36</v>
      </c>
      <c r="B567" t="s">
        <v>86</v>
      </c>
      <c r="C567">
        <v>2021</v>
      </c>
      <c r="D567">
        <v>4</v>
      </c>
      <c r="E567">
        <v>414</v>
      </c>
      <c r="F567">
        <v>309</v>
      </c>
      <c r="G567">
        <v>4.2</v>
      </c>
      <c r="H567" s="4">
        <v>102550</v>
      </c>
      <c r="I567" s="8" t="str" cm="1">
        <f t="array" ref="I567">_xlfn.IFS(H567&lt;50000,"Under $50K", H567&lt;100000,"$50K–$100K",
     H567&lt;200000,"$100K–$200K", H567&lt;500000,"$200K–$500K",
     H567&gt;=500000,"$500K+")</f>
        <v>$100K–$200K</v>
      </c>
      <c r="J567" s="9" t="str">
        <f t="shared" si="40"/>
        <v>2020s</v>
      </c>
      <c r="K567">
        <f t="shared" si="41"/>
        <v>2.3729504022812913E-2</v>
      </c>
      <c r="L567">
        <f t="shared" si="42"/>
        <v>0.17840646651270209</v>
      </c>
      <c r="M567">
        <f t="shared" si="43"/>
        <v>0.4893617021276595</v>
      </c>
      <c r="N567">
        <f t="shared" si="44"/>
        <v>0.23049922422105817</v>
      </c>
    </row>
    <row r="568" spans="1:14">
      <c r="A568" t="s">
        <v>13</v>
      </c>
      <c r="B568" t="s">
        <v>118</v>
      </c>
      <c r="C568">
        <v>2021</v>
      </c>
      <c r="D568">
        <v>2.5</v>
      </c>
      <c r="E568">
        <v>394</v>
      </c>
      <c r="F568">
        <v>354</v>
      </c>
      <c r="G568">
        <v>3.6</v>
      </c>
      <c r="H568" s="4">
        <v>67895</v>
      </c>
      <c r="I568" s="8" t="str" cm="1">
        <f t="array" ref="I568">_xlfn.IFS(H568&lt;50000,"Under $50K", H568&lt;100000,"$50K–$100K",
     H568&lt;200000,"$100K–$200K", H568&lt;500000,"$200K–$500K",
     H568&gt;=500000,"$500K+")</f>
        <v>$50K–$100K</v>
      </c>
      <c r="J568" s="9" t="str">
        <f t="shared" si="40"/>
        <v>2020s</v>
      </c>
      <c r="K568">
        <f t="shared" si="41"/>
        <v>2.1692636724717385E-2</v>
      </c>
      <c r="L568">
        <f t="shared" si="42"/>
        <v>0.20438799076212472</v>
      </c>
      <c r="M568">
        <f t="shared" si="43"/>
        <v>0.61702127659574468</v>
      </c>
      <c r="N568">
        <f t="shared" si="44"/>
        <v>0.28103396802752895</v>
      </c>
    </row>
    <row r="569" spans="1:14">
      <c r="A569" t="s">
        <v>17</v>
      </c>
      <c r="B569" t="s">
        <v>211</v>
      </c>
      <c r="C569">
        <v>2023</v>
      </c>
      <c r="D569">
        <v>5.5</v>
      </c>
      <c r="E569">
        <v>625</v>
      </c>
      <c r="F569">
        <v>650</v>
      </c>
      <c r="G569">
        <v>2.6</v>
      </c>
      <c r="H569" s="4">
        <v>85000</v>
      </c>
      <c r="I569" s="8" t="str" cm="1">
        <f t="array" ref="I569">_xlfn.IFS(H569&lt;50000,"Under $50K", H569&lt;100000,"$50K–$100K",
     H569&lt;200000,"$100K–$200K", H569&lt;500000,"$200K–$500K",
     H569&gt;=500000,"$500K+")</f>
        <v>$50K–$100K</v>
      </c>
      <c r="J569" s="9" t="str">
        <f t="shared" si="40"/>
        <v>2020s</v>
      </c>
      <c r="K569">
        <f t="shared" si="41"/>
        <v>4.5218454017720747E-2</v>
      </c>
      <c r="L569">
        <f t="shared" si="42"/>
        <v>0.37528868360277134</v>
      </c>
      <c r="M569">
        <f t="shared" si="43"/>
        <v>0.82978723404255317</v>
      </c>
      <c r="N569">
        <f t="shared" si="44"/>
        <v>0.4167647905543484</v>
      </c>
    </row>
    <row r="570" spans="1:14">
      <c r="A570" t="s">
        <v>24</v>
      </c>
      <c r="B570" t="s">
        <v>96</v>
      </c>
      <c r="C570">
        <v>2022</v>
      </c>
      <c r="D570">
        <v>4</v>
      </c>
      <c r="E570">
        <v>641</v>
      </c>
      <c r="F570">
        <v>626</v>
      </c>
      <c r="G570">
        <v>3.2</v>
      </c>
      <c r="H570" s="4">
        <v>218009</v>
      </c>
      <c r="I570" s="8" t="str" cm="1">
        <f t="array" ref="I570">_xlfn.IFS(H570&lt;50000,"Under $50K", H570&lt;100000,"$50K–$100K",
     H570&lt;200000,"$100K–$200K", H570&lt;500000,"$200K–$500K",
     H570&gt;=500000,"$500K+")</f>
        <v>$200K–$500K</v>
      </c>
      <c r="J570" s="9" t="str">
        <f t="shared" si="40"/>
        <v>2020s</v>
      </c>
      <c r="K570">
        <f t="shared" si="41"/>
        <v>4.684794785619717E-2</v>
      </c>
      <c r="L570">
        <f t="shared" si="42"/>
        <v>0.36143187066974597</v>
      </c>
      <c r="M570">
        <f t="shared" si="43"/>
        <v>0.7021276595744681</v>
      </c>
      <c r="N570">
        <f t="shared" si="44"/>
        <v>0.37013582603347039</v>
      </c>
    </row>
    <row r="571" spans="1:14">
      <c r="A571" t="s">
        <v>31</v>
      </c>
      <c r="B571" t="s">
        <v>212</v>
      </c>
      <c r="C571">
        <v>2021</v>
      </c>
      <c r="D571">
        <v>4</v>
      </c>
      <c r="E571">
        <v>630</v>
      </c>
      <c r="F571">
        <v>664</v>
      </c>
      <c r="G571">
        <v>3.1</v>
      </c>
      <c r="H571" s="4">
        <v>162900</v>
      </c>
      <c r="I571" s="8" t="str" cm="1">
        <f t="array" ref="I571">_xlfn.IFS(H571&lt;50000,"Under $50K", H571&lt;100000,"$50K–$100K",
     H571&lt;200000,"$100K–$200K", H571&lt;500000,"$200K–$500K",
     H571&gt;=500000,"$500K+")</f>
        <v>$100K–$200K</v>
      </c>
      <c r="J571" s="9" t="str">
        <f t="shared" si="40"/>
        <v>2020s</v>
      </c>
      <c r="K571">
        <f t="shared" si="41"/>
        <v>4.5727670842244626E-2</v>
      </c>
      <c r="L571">
        <f t="shared" si="42"/>
        <v>0.38337182448036949</v>
      </c>
      <c r="M571">
        <f t="shared" si="43"/>
        <v>0.72340425531914887</v>
      </c>
      <c r="N571">
        <f t="shared" si="44"/>
        <v>0.38416791688058766</v>
      </c>
    </row>
    <row r="572" spans="1:14">
      <c r="A572" t="s">
        <v>19</v>
      </c>
      <c r="B572" t="s">
        <v>213</v>
      </c>
      <c r="C572">
        <v>2022</v>
      </c>
      <c r="D572">
        <v>3.9</v>
      </c>
      <c r="E572">
        <v>612</v>
      </c>
      <c r="F572">
        <v>560</v>
      </c>
      <c r="G572">
        <v>3.5</v>
      </c>
      <c r="H572" s="4">
        <v>245000</v>
      </c>
      <c r="I572" s="8" t="str" cm="1">
        <f t="array" ref="I572">_xlfn.IFS(H572&lt;50000,"Under $50K", H572&lt;100000,"$50K–$100K",
     H572&lt;200000,"$100K–$200K", H572&lt;500000,"$200K–$500K",
     H572&gt;=500000,"$500K+")</f>
        <v>$200K–$500K</v>
      </c>
      <c r="J572" s="9" t="str">
        <f t="shared" si="40"/>
        <v>2020s</v>
      </c>
      <c r="K572">
        <f t="shared" si="41"/>
        <v>4.3894490273958649E-2</v>
      </c>
      <c r="L572">
        <f t="shared" si="42"/>
        <v>0.32332563510392609</v>
      </c>
      <c r="M572">
        <f t="shared" si="43"/>
        <v>0.63829787234042556</v>
      </c>
      <c r="N572">
        <f t="shared" si="44"/>
        <v>0.33517266590610345</v>
      </c>
    </row>
    <row r="573" spans="1:14">
      <c r="A573" t="s">
        <v>16</v>
      </c>
      <c r="B573" t="s">
        <v>70</v>
      </c>
      <c r="C573">
        <v>2021</v>
      </c>
      <c r="D573">
        <v>8</v>
      </c>
      <c r="E573">
        <v>1479</v>
      </c>
      <c r="F573">
        <v>1180</v>
      </c>
      <c r="G573">
        <v>2.5</v>
      </c>
      <c r="H573" s="4">
        <v>3000000</v>
      </c>
      <c r="I573" s="8" t="str" cm="1">
        <f t="array" ref="I573">_xlfn.IFS(H573&lt;50000,"Under $50K", H573&lt;100000,"$50K–$100K",
     H573&lt;200000,"$100K–$200K", H573&lt;500000,"$200K–$500K",
     H573&gt;=500000,"$500K+")</f>
        <v>$500K+</v>
      </c>
      <c r="J573" s="9" t="str">
        <f t="shared" si="40"/>
        <v>2020s</v>
      </c>
      <c r="K573">
        <f t="shared" si="41"/>
        <v>0.13219268764639983</v>
      </c>
      <c r="L573">
        <f t="shared" si="42"/>
        <v>0.68129330254041576</v>
      </c>
      <c r="M573">
        <f t="shared" si="43"/>
        <v>0.85106382978723405</v>
      </c>
      <c r="N573">
        <f t="shared" si="44"/>
        <v>0.55484993999134991</v>
      </c>
    </row>
    <row r="574" spans="1:14">
      <c r="A574" t="s">
        <v>12</v>
      </c>
      <c r="B574" t="s">
        <v>132</v>
      </c>
      <c r="C574">
        <v>2021</v>
      </c>
      <c r="D574">
        <v>5.2</v>
      </c>
      <c r="E574">
        <v>715</v>
      </c>
      <c r="F574">
        <v>664</v>
      </c>
      <c r="G574">
        <v>3.4</v>
      </c>
      <c r="H574" s="4">
        <v>304995</v>
      </c>
      <c r="I574" s="8" t="str" cm="1">
        <f t="array" ref="I574">_xlfn.IFS(H574&lt;50000,"Under $50K", H574&lt;100000,"$50K–$100K",
     H574&lt;200000,"$100K–$200K", H574&lt;500000,"$200K–$500K",
     H574&gt;=500000,"$500K+")</f>
        <v>$200K–$500K</v>
      </c>
      <c r="J574" s="9" t="str">
        <f t="shared" si="40"/>
        <v>2020s</v>
      </c>
      <c r="K574">
        <f t="shared" si="41"/>
        <v>5.4384356859150627E-2</v>
      </c>
      <c r="L574">
        <f t="shared" si="42"/>
        <v>0.38337182448036949</v>
      </c>
      <c r="M574">
        <f t="shared" si="43"/>
        <v>0.65957446808510645</v>
      </c>
      <c r="N574">
        <f t="shared" si="44"/>
        <v>0.36577688314154216</v>
      </c>
    </row>
    <row r="575" spans="1:14">
      <c r="A575" t="s">
        <v>26</v>
      </c>
      <c r="B575" t="s">
        <v>75</v>
      </c>
      <c r="C575">
        <v>2021</v>
      </c>
      <c r="D575">
        <v>3.5</v>
      </c>
      <c r="E575">
        <v>416</v>
      </c>
      <c r="F575">
        <v>317</v>
      </c>
      <c r="G575">
        <v>3.8</v>
      </c>
      <c r="H575" s="4">
        <v>100450</v>
      </c>
      <c r="I575" s="8" t="str" cm="1">
        <f t="array" ref="I575">_xlfn.IFS(H575&lt;50000,"Under $50K", H575&lt;100000,"$50K–$100K",
     H575&lt;200000,"$100K–$200K", H575&lt;500000,"$200K–$500K",
     H575&gt;=500000,"$500K+")</f>
        <v>$100K–$200K</v>
      </c>
      <c r="J575" s="9" t="str">
        <f t="shared" si="40"/>
        <v>2020s</v>
      </c>
      <c r="K575">
        <f t="shared" si="41"/>
        <v>2.3933190752622468E-2</v>
      </c>
      <c r="L575">
        <f t="shared" si="42"/>
        <v>0.18302540415704388</v>
      </c>
      <c r="M575">
        <f t="shared" si="43"/>
        <v>0.57446808510638303</v>
      </c>
      <c r="N575">
        <f t="shared" si="44"/>
        <v>0.26047556000534983</v>
      </c>
    </row>
    <row r="576" spans="1:14">
      <c r="A576" t="s">
        <v>36</v>
      </c>
      <c r="B576" t="s">
        <v>86</v>
      </c>
      <c r="C576">
        <v>2022</v>
      </c>
      <c r="D576">
        <v>4</v>
      </c>
      <c r="E576">
        <v>414</v>
      </c>
      <c r="F576">
        <v>309</v>
      </c>
      <c r="G576">
        <v>4.2</v>
      </c>
      <c r="H576" s="4">
        <v>100200</v>
      </c>
      <c r="I576" s="8" t="str" cm="1">
        <f t="array" ref="I576">_xlfn.IFS(H576&lt;50000,"Under $50K", H576&lt;100000,"$50K–$100K",
     H576&lt;200000,"$100K–$200K", H576&lt;500000,"$200K–$500K",
     H576&gt;=500000,"$500K+")</f>
        <v>$100K–$200K</v>
      </c>
      <c r="J576" s="9" t="str">
        <f t="shared" si="40"/>
        <v>2020s</v>
      </c>
      <c r="K576">
        <f t="shared" si="41"/>
        <v>2.3729504022812913E-2</v>
      </c>
      <c r="L576">
        <f t="shared" si="42"/>
        <v>0.17840646651270209</v>
      </c>
      <c r="M576">
        <f t="shared" si="43"/>
        <v>0.4893617021276595</v>
      </c>
      <c r="N576">
        <f t="shared" si="44"/>
        <v>0.23049922422105817</v>
      </c>
    </row>
    <row r="577" spans="1:14">
      <c r="A577" t="s">
        <v>8</v>
      </c>
      <c r="B577" t="s">
        <v>123</v>
      </c>
      <c r="C577">
        <v>2021</v>
      </c>
      <c r="D577">
        <v>3.5</v>
      </c>
      <c r="E577">
        <v>573</v>
      </c>
      <c r="F577">
        <v>476</v>
      </c>
      <c r="G577">
        <v>2.7</v>
      </c>
      <c r="H577" s="4">
        <v>157500</v>
      </c>
      <c r="I577" s="8" t="str" cm="1">
        <f t="array" ref="I577">_xlfn.IFS(H577&lt;50000,"Under $50K", H577&lt;100000,"$50K–$100K",
     H577&lt;200000,"$100K–$200K", H577&lt;500000,"$200K–$500K",
     H577&gt;=500000,"$500K+")</f>
        <v>$100K–$200K</v>
      </c>
      <c r="J577" s="9" t="str">
        <f t="shared" si="40"/>
        <v>2020s</v>
      </c>
      <c r="K577">
        <f t="shared" si="41"/>
        <v>3.9922599042672369E-2</v>
      </c>
      <c r="L577">
        <f t="shared" si="42"/>
        <v>0.27482678983833719</v>
      </c>
      <c r="M577">
        <f t="shared" si="43"/>
        <v>0.80851063829787229</v>
      </c>
      <c r="N577">
        <f t="shared" si="44"/>
        <v>0.3744200090596273</v>
      </c>
    </row>
    <row r="578" spans="1:14">
      <c r="A578" t="s">
        <v>25</v>
      </c>
      <c r="B578" t="s">
        <v>176</v>
      </c>
      <c r="C578">
        <v>2021</v>
      </c>
      <c r="D578">
        <v>5</v>
      </c>
      <c r="E578">
        <v>471</v>
      </c>
      <c r="F578">
        <v>398</v>
      </c>
      <c r="G578">
        <v>4.4000000000000004</v>
      </c>
      <c r="H578" s="4">
        <v>92950</v>
      </c>
      <c r="I578" s="8" t="str" cm="1">
        <f t="array" ref="I578">_xlfn.IFS(H578&lt;50000,"Under $50K", H578&lt;100000,"$50K–$100K",
     H578&lt;200000,"$100K–$200K", H578&lt;500000,"$200K–$500K",
     H578&gt;=500000,"$500K+")</f>
        <v>$50K–$100K</v>
      </c>
      <c r="J578" s="9" t="str">
        <f t="shared" si="40"/>
        <v>2020s</v>
      </c>
      <c r="K578">
        <f t="shared" si="41"/>
        <v>2.9534575822385171E-2</v>
      </c>
      <c r="L578">
        <f t="shared" si="42"/>
        <v>0.22979214780600463</v>
      </c>
      <c r="M578">
        <f t="shared" si="43"/>
        <v>0.44680851063829774</v>
      </c>
      <c r="N578">
        <f t="shared" si="44"/>
        <v>0.23537841142222918</v>
      </c>
    </row>
    <row r="579" spans="1:14">
      <c r="A579" t="s">
        <v>9</v>
      </c>
      <c r="B579" t="s">
        <v>78</v>
      </c>
      <c r="C579">
        <v>2021</v>
      </c>
      <c r="D579">
        <v>2.9</v>
      </c>
      <c r="E579">
        <v>505</v>
      </c>
      <c r="F579">
        <v>443</v>
      </c>
      <c r="G579">
        <v>3.8</v>
      </c>
      <c r="H579" s="4">
        <v>74750</v>
      </c>
      <c r="I579" s="8" t="str" cm="1">
        <f t="array" ref="I579">_xlfn.IFS(H579&lt;50000,"Under $50K", H579&lt;100000,"$50K–$100K",
     H579&lt;200000,"$100K–$200K", H579&lt;500000,"$200K–$500K",
     H579&gt;=500000,"$500K+")</f>
        <v>$50K–$100K</v>
      </c>
      <c r="J579" s="9" t="str">
        <f t="shared" ref="J579:J642" si="45">_xlfn.CONCAT(INT(C579/10)*10,"s")</f>
        <v>2020s</v>
      </c>
      <c r="K579">
        <f t="shared" ref="K579:K642" si="46">(E579-MIN($E$2:$E$1008))/(MAX($E$2:$E$1008)-MIN($E$2:$E$1008))</f>
        <v>3.2997250229147568E-2</v>
      </c>
      <c r="L579">
        <f t="shared" ref="L579:L642" si="47">(F579-MIN($F$2:$F$501))/(MAX($F$2:$F$501)-MIN($F$2:$F$501))</f>
        <v>0.25577367205542723</v>
      </c>
      <c r="M579">
        <f t="shared" ref="M579:M642" si="48">1-((G579-MIN($G$2:$G$501))/(MAX($G$2:$G$501)-MIN($G$2:$G$501)))</f>
        <v>0.57446808510638303</v>
      </c>
      <c r="N579">
        <f t="shared" ref="N579:N642" si="49">AVERAGE(K579,L579,M579)</f>
        <v>0.28774633579698594</v>
      </c>
    </row>
    <row r="580" spans="1:14">
      <c r="A580" t="s">
        <v>13</v>
      </c>
      <c r="B580" t="s">
        <v>89</v>
      </c>
      <c r="C580">
        <v>2021</v>
      </c>
      <c r="D580">
        <v>4</v>
      </c>
      <c r="E580">
        <v>591</v>
      </c>
      <c r="F580">
        <v>590</v>
      </c>
      <c r="G580">
        <v>3.5</v>
      </c>
      <c r="H580" s="4">
        <v>114000</v>
      </c>
      <c r="I580" s="8" t="str" cm="1">
        <f t="array" ref="I580">_xlfn.IFS(H580&lt;50000,"Under $50K", H580&lt;100000,"$50K–$100K",
     H580&lt;200000,"$100K–$200K", H580&lt;500000,"$200K–$500K",
     H580&gt;=500000,"$500K+")</f>
        <v>$100K–$200K</v>
      </c>
      <c r="J580" s="9" t="str">
        <f t="shared" si="45"/>
        <v>2020s</v>
      </c>
      <c r="K580">
        <f t="shared" si="46"/>
        <v>4.1755779610958346E-2</v>
      </c>
      <c r="L580">
        <f t="shared" si="47"/>
        <v>0.34064665127020788</v>
      </c>
      <c r="M580">
        <f t="shared" si="48"/>
        <v>0.63829787234042556</v>
      </c>
      <c r="N580">
        <f t="shared" si="49"/>
        <v>0.34023343440719728</v>
      </c>
    </row>
    <row r="581" spans="1:14">
      <c r="A581" t="s">
        <v>14</v>
      </c>
      <c r="B581" t="s">
        <v>80</v>
      </c>
      <c r="C581">
        <v>2021</v>
      </c>
      <c r="D581">
        <v>6</v>
      </c>
      <c r="E581">
        <v>626</v>
      </c>
      <c r="F581">
        <v>664</v>
      </c>
      <c r="G581">
        <v>3.3</v>
      </c>
      <c r="H581" s="4">
        <v>218400</v>
      </c>
      <c r="I581" s="8" t="str" cm="1">
        <f t="array" ref="I581">_xlfn.IFS(H581&lt;50000,"Under $50K", H581&lt;100000,"$50K–$100K",
     H581&lt;200000,"$100K–$200K", H581&lt;500000,"$200K–$500K",
     H581&gt;=500000,"$500K+")</f>
        <v>$200K–$500K</v>
      </c>
      <c r="J581" s="9" t="str">
        <f t="shared" si="45"/>
        <v>2020s</v>
      </c>
      <c r="K581">
        <f t="shared" si="46"/>
        <v>4.5320297382625524E-2</v>
      </c>
      <c r="L581">
        <f t="shared" si="47"/>
        <v>0.38337182448036949</v>
      </c>
      <c r="M581">
        <f t="shared" si="48"/>
        <v>0.68085106382978733</v>
      </c>
      <c r="N581">
        <f t="shared" si="49"/>
        <v>0.36984772856426079</v>
      </c>
    </row>
    <row r="582" spans="1:14">
      <c r="A582" t="s">
        <v>15</v>
      </c>
      <c r="B582" t="s">
        <v>111</v>
      </c>
      <c r="C582">
        <v>2021</v>
      </c>
      <c r="D582">
        <v>4.4000000000000004</v>
      </c>
      <c r="E582">
        <v>600</v>
      </c>
      <c r="F582">
        <v>553</v>
      </c>
      <c r="G582">
        <v>3.2</v>
      </c>
      <c r="H582" s="4">
        <v>103500</v>
      </c>
      <c r="I582" s="8" t="str" cm="1">
        <f t="array" ref="I582">_xlfn.IFS(H582&lt;50000,"Under $50K", H582&lt;100000,"$50K–$100K",
     H582&lt;200000,"$100K–$200K", H582&lt;500000,"$200K–$500K",
     H582&gt;=500000,"$500K+")</f>
        <v>$100K–$200K</v>
      </c>
      <c r="J582" s="9" t="str">
        <f t="shared" si="45"/>
        <v>2020s</v>
      </c>
      <c r="K582">
        <f t="shared" si="46"/>
        <v>4.2672369895101335E-2</v>
      </c>
      <c r="L582">
        <f t="shared" si="47"/>
        <v>0.31928406466512704</v>
      </c>
      <c r="M582">
        <f t="shared" si="48"/>
        <v>0.7021276595744681</v>
      </c>
      <c r="N582">
        <f t="shared" si="49"/>
        <v>0.35469469804489884</v>
      </c>
    </row>
    <row r="583" spans="1:14">
      <c r="A583" t="s">
        <v>17</v>
      </c>
      <c r="B583" t="s">
        <v>91</v>
      </c>
      <c r="C583">
        <v>2021</v>
      </c>
      <c r="D583">
        <v>6.2</v>
      </c>
      <c r="E583">
        <v>650</v>
      </c>
      <c r="F583">
        <v>650</v>
      </c>
      <c r="G583">
        <v>3.5</v>
      </c>
      <c r="H583" s="4">
        <v>64695</v>
      </c>
      <c r="I583" s="8" t="str" cm="1">
        <f t="array" ref="I583">_xlfn.IFS(H583&lt;50000,"Under $50K", H583&lt;100000,"$50K–$100K",
     H583&lt;200000,"$100K–$200K", H583&lt;500000,"$200K–$500K",
     H583&gt;=500000,"$500K+")</f>
        <v>$50K–$100K</v>
      </c>
      <c r="J583" s="9" t="str">
        <f t="shared" si="45"/>
        <v>2020s</v>
      </c>
      <c r="K583">
        <f t="shared" si="46"/>
        <v>4.7764538140340158E-2</v>
      </c>
      <c r="L583">
        <f t="shared" si="47"/>
        <v>0.37528868360277134</v>
      </c>
      <c r="M583">
        <f t="shared" si="48"/>
        <v>0.63829787234042556</v>
      </c>
      <c r="N583">
        <f t="shared" si="49"/>
        <v>0.35378369802784571</v>
      </c>
    </row>
    <row r="584" spans="1:14">
      <c r="A584" t="s">
        <v>18</v>
      </c>
      <c r="B584" t="s">
        <v>175</v>
      </c>
      <c r="C584">
        <v>2021</v>
      </c>
      <c r="D584">
        <v>6.2</v>
      </c>
      <c r="E584">
        <v>717</v>
      </c>
      <c r="F584">
        <v>656</v>
      </c>
      <c r="G584">
        <v>3.5</v>
      </c>
      <c r="H584" s="4">
        <v>70595</v>
      </c>
      <c r="I584" s="8" t="str" cm="1">
        <f t="array" ref="I584">_xlfn.IFS(H584&lt;50000,"Under $50K", H584&lt;100000,"$50K–$100K",
     H584&lt;200000,"$100K–$200K", H584&lt;500000,"$200K–$500K",
     H584&gt;=500000,"$500K+")</f>
        <v>$50K–$100K</v>
      </c>
      <c r="J584" s="9" t="str">
        <f t="shared" si="45"/>
        <v>2020s</v>
      </c>
      <c r="K584">
        <f t="shared" si="46"/>
        <v>5.4588043588960182E-2</v>
      </c>
      <c r="L584">
        <f t="shared" si="47"/>
        <v>0.3787528868360277</v>
      </c>
      <c r="M584">
        <f t="shared" si="48"/>
        <v>0.63829787234042556</v>
      </c>
      <c r="N584">
        <f t="shared" si="49"/>
        <v>0.35721293425513778</v>
      </c>
    </row>
    <row r="585" spans="1:14">
      <c r="A585" t="s">
        <v>20</v>
      </c>
      <c r="B585" t="s">
        <v>92</v>
      </c>
      <c r="C585">
        <v>2022</v>
      </c>
      <c r="D585">
        <v>3.5</v>
      </c>
      <c r="E585">
        <v>647</v>
      </c>
      <c r="F585">
        <v>550</v>
      </c>
      <c r="G585">
        <v>3</v>
      </c>
      <c r="H585" s="4">
        <v>500000</v>
      </c>
      <c r="I585" s="8" t="str" cm="1">
        <f t="array" ref="I585">_xlfn.IFS(H585&lt;50000,"Under $50K", H585&lt;100000,"$50K–$100K",
     H585&lt;200000,"$100K–$200K", H585&lt;500000,"$200K–$500K",
     H585&gt;=500000,"$500K+")</f>
        <v>$500K+</v>
      </c>
      <c r="J585" s="9" t="str">
        <f t="shared" si="45"/>
        <v>2020s</v>
      </c>
      <c r="K585">
        <f t="shared" si="46"/>
        <v>4.7459008045625826E-2</v>
      </c>
      <c r="L585">
        <f t="shared" si="47"/>
        <v>0.31755196304849886</v>
      </c>
      <c r="M585">
        <f t="shared" si="48"/>
        <v>0.74468085106382986</v>
      </c>
      <c r="N585">
        <f t="shared" si="49"/>
        <v>0.36989727405265155</v>
      </c>
    </row>
    <row r="586" spans="1:14">
      <c r="A586" t="s">
        <v>21</v>
      </c>
      <c r="B586" t="s">
        <v>160</v>
      </c>
      <c r="C586">
        <v>2021</v>
      </c>
      <c r="D586">
        <v>5</v>
      </c>
      <c r="E586">
        <v>575</v>
      </c>
      <c r="F586">
        <v>516</v>
      </c>
      <c r="G586">
        <v>3.5</v>
      </c>
      <c r="H586" s="4">
        <v>103200</v>
      </c>
      <c r="I586" s="8" t="str" cm="1">
        <f t="array" ref="I586">_xlfn.IFS(H586&lt;50000,"Under $50K", H586&lt;100000,"$50K–$100K",
     H586&lt;200000,"$100K–$200K", H586&lt;500000,"$200K–$500K",
     H586&gt;=500000,"$500K+")</f>
        <v>$100K–$200K</v>
      </c>
      <c r="J586" s="9" t="str">
        <f t="shared" si="45"/>
        <v>2020s</v>
      </c>
      <c r="K586">
        <f t="shared" si="46"/>
        <v>4.0126285772481923E-2</v>
      </c>
      <c r="L586">
        <f t="shared" si="47"/>
        <v>0.29792147806004621</v>
      </c>
      <c r="M586">
        <f t="shared" si="48"/>
        <v>0.63829787234042556</v>
      </c>
      <c r="N586">
        <f t="shared" si="49"/>
        <v>0.32544854539098456</v>
      </c>
    </row>
    <row r="587" spans="1:14">
      <c r="A587" t="s">
        <v>24</v>
      </c>
      <c r="B587" t="s">
        <v>115</v>
      </c>
      <c r="C587">
        <v>2021</v>
      </c>
      <c r="D587">
        <v>6.5</v>
      </c>
      <c r="E587">
        <v>730</v>
      </c>
      <c r="F587">
        <v>509</v>
      </c>
      <c r="G587">
        <v>2.9</v>
      </c>
      <c r="H587" s="4">
        <v>393695</v>
      </c>
      <c r="I587" s="8" t="str" cm="1">
        <f t="array" ref="I587">_xlfn.IFS(H587&lt;50000,"Under $50K", H587&lt;100000,"$50K–$100K",
     H587&lt;200000,"$100K–$200K", H587&lt;500000,"$200K–$500K",
     H587&gt;=500000,"$500K+")</f>
        <v>$200K–$500K</v>
      </c>
      <c r="J587" s="9" t="str">
        <f t="shared" si="45"/>
        <v>2020s</v>
      </c>
      <c r="K587">
        <f t="shared" si="46"/>
        <v>5.5912007332722273E-2</v>
      </c>
      <c r="L587">
        <f t="shared" si="47"/>
        <v>0.29387990762124711</v>
      </c>
      <c r="M587">
        <f t="shared" si="48"/>
        <v>0.76595744680851063</v>
      </c>
      <c r="N587">
        <f t="shared" si="49"/>
        <v>0.37191645392082667</v>
      </c>
    </row>
    <row r="588" spans="1:14">
      <c r="A588" t="s">
        <v>29</v>
      </c>
      <c r="B588" t="s">
        <v>103</v>
      </c>
      <c r="C588">
        <v>2021</v>
      </c>
      <c r="D588">
        <v>3.8</v>
      </c>
      <c r="E588">
        <v>562</v>
      </c>
      <c r="F588">
        <v>443</v>
      </c>
      <c r="G588">
        <v>3.1</v>
      </c>
      <c r="H588" s="4">
        <v>203500</v>
      </c>
      <c r="I588" s="8" t="str" cm="1">
        <f t="array" ref="I588">_xlfn.IFS(H588&lt;50000,"Under $50K", H588&lt;100000,"$50K–$100K",
     H588&lt;200000,"$100K–$200K", H588&lt;500000,"$200K–$500K",
     H588&gt;=500000,"$500K+")</f>
        <v>$200K–$500K</v>
      </c>
      <c r="J588" s="9" t="str">
        <f t="shared" si="45"/>
        <v>2020s</v>
      </c>
      <c r="K588">
        <f t="shared" si="46"/>
        <v>3.8802322028719832E-2</v>
      </c>
      <c r="L588">
        <f t="shared" si="47"/>
        <v>0.25577367205542723</v>
      </c>
      <c r="M588">
        <f t="shared" si="48"/>
        <v>0.72340425531914887</v>
      </c>
      <c r="N588">
        <f t="shared" si="49"/>
        <v>0.33932674980109861</v>
      </c>
    </row>
    <row r="589" spans="1:14">
      <c r="A589" t="s">
        <v>31</v>
      </c>
      <c r="B589" t="s">
        <v>82</v>
      </c>
      <c r="C589">
        <v>2015</v>
      </c>
      <c r="D589">
        <v>6.2</v>
      </c>
      <c r="E589">
        <v>583</v>
      </c>
      <c r="F589">
        <v>479</v>
      </c>
      <c r="G589">
        <v>3.6</v>
      </c>
      <c r="H589" s="4">
        <v>221580</v>
      </c>
      <c r="I589" s="8" t="str" cm="1">
        <f t="array" ref="I589">_xlfn.IFS(H589&lt;50000,"Under $50K", H589&lt;100000,"$50K–$100K",
     H589&lt;200000,"$100K–$200K", H589&lt;500000,"$200K–$500K",
     H589&gt;=500000,"$500K+")</f>
        <v>$200K–$500K</v>
      </c>
      <c r="J589" s="9" t="str">
        <f t="shared" si="45"/>
        <v>2010s</v>
      </c>
      <c r="K589">
        <f t="shared" si="46"/>
        <v>4.0941032691720135E-2</v>
      </c>
      <c r="L589">
        <f t="shared" si="47"/>
        <v>0.27655889145496537</v>
      </c>
      <c r="M589">
        <f t="shared" si="48"/>
        <v>0.61702127659574468</v>
      </c>
      <c r="N589">
        <f t="shared" si="49"/>
        <v>0.31150706691414337</v>
      </c>
    </row>
    <row r="590" spans="1:14">
      <c r="A590" t="s">
        <v>32</v>
      </c>
      <c r="B590" t="s">
        <v>93</v>
      </c>
      <c r="C590">
        <v>2020</v>
      </c>
      <c r="D590">
        <v>3.7</v>
      </c>
      <c r="E590">
        <v>350</v>
      </c>
      <c r="F590">
        <v>276</v>
      </c>
      <c r="G590">
        <v>4.7</v>
      </c>
      <c r="H590" s="4">
        <v>47190</v>
      </c>
      <c r="I590" s="8" t="str" cm="1">
        <f t="array" ref="I590">_xlfn.IFS(H590&lt;50000,"Under $50K", H590&lt;100000,"$50K–$100K",
     H590&lt;200000,"$100K–$200K", H590&lt;500000,"$200K–$500K",
     H590&gt;=500000,"$500K+")</f>
        <v>Under $50K</v>
      </c>
      <c r="J590" s="9" t="str">
        <f t="shared" si="45"/>
        <v>2020s</v>
      </c>
      <c r="K590">
        <f t="shared" si="46"/>
        <v>1.7211528668907222E-2</v>
      </c>
      <c r="L590">
        <f t="shared" si="47"/>
        <v>0.15935334872979215</v>
      </c>
      <c r="M590">
        <f t="shared" si="48"/>
        <v>0.38297872340425532</v>
      </c>
      <c r="N590">
        <f t="shared" si="49"/>
        <v>0.18651453360098488</v>
      </c>
    </row>
    <row r="591" spans="1:14">
      <c r="A591" t="s">
        <v>36</v>
      </c>
      <c r="B591" t="s">
        <v>77</v>
      </c>
      <c r="C591">
        <v>2021</v>
      </c>
      <c r="D591">
        <v>2</v>
      </c>
      <c r="E591">
        <v>300</v>
      </c>
      <c r="F591">
        <v>280</v>
      </c>
      <c r="G591">
        <v>4.9000000000000004</v>
      </c>
      <c r="H591" s="4">
        <v>62000</v>
      </c>
      <c r="I591" s="8" t="str" cm="1">
        <f t="array" ref="I591">_xlfn.IFS(H591&lt;50000,"Under $50K", H591&lt;100000,"$50K–$100K",
     H591&lt;200000,"$100K–$200K", H591&lt;500000,"$200K–$500K",
     H591&gt;=500000,"$500K+")</f>
        <v>$50K–$100K</v>
      </c>
      <c r="J591" s="9" t="str">
        <f t="shared" si="45"/>
        <v>2020s</v>
      </c>
      <c r="K591">
        <f t="shared" si="46"/>
        <v>1.2119360423668398E-2</v>
      </c>
      <c r="L591">
        <f t="shared" si="47"/>
        <v>0.16166281755196305</v>
      </c>
      <c r="M591">
        <f t="shared" si="48"/>
        <v>0.34042553191489355</v>
      </c>
      <c r="N591">
        <f t="shared" si="49"/>
        <v>0.17140256996350833</v>
      </c>
    </row>
    <row r="592" spans="1:14">
      <c r="A592" t="s">
        <v>36</v>
      </c>
      <c r="B592" t="s">
        <v>122</v>
      </c>
      <c r="C592">
        <v>2022</v>
      </c>
      <c r="D592">
        <v>2</v>
      </c>
      <c r="E592">
        <v>300</v>
      </c>
      <c r="F592">
        <v>280</v>
      </c>
      <c r="G592">
        <v>4.9000000000000004</v>
      </c>
      <c r="H592" s="4">
        <v>61500</v>
      </c>
      <c r="I592" s="8" t="str" cm="1">
        <f t="array" ref="I592">_xlfn.IFS(H592&lt;50000,"Under $50K", H592&lt;100000,"$50K–$100K",
     H592&lt;200000,"$100K–$200K", H592&lt;500000,"$200K–$500K",
     H592&gt;=500000,"$500K+")</f>
        <v>$50K–$100K</v>
      </c>
      <c r="J592" s="9" t="str">
        <f t="shared" si="45"/>
        <v>2020s</v>
      </c>
      <c r="K592">
        <f t="shared" si="46"/>
        <v>1.2119360423668398E-2</v>
      </c>
      <c r="L592">
        <f t="shared" si="47"/>
        <v>0.16166281755196305</v>
      </c>
      <c r="M592">
        <f t="shared" si="48"/>
        <v>0.34042553191489355</v>
      </c>
      <c r="N592">
        <f t="shared" si="49"/>
        <v>0.17140256996350833</v>
      </c>
    </row>
    <row r="593" spans="1:14">
      <c r="A593" t="s">
        <v>24</v>
      </c>
      <c r="B593" t="s">
        <v>115</v>
      </c>
      <c r="C593">
        <v>2021</v>
      </c>
      <c r="D593">
        <v>6.5</v>
      </c>
      <c r="E593">
        <v>759</v>
      </c>
      <c r="F593">
        <v>531</v>
      </c>
      <c r="G593">
        <v>2.9</v>
      </c>
      <c r="H593" s="4">
        <v>393695</v>
      </c>
      <c r="I593" s="8" t="str" cm="1">
        <f t="array" ref="I593">_xlfn.IFS(H593&lt;50000,"Under $50K", H593&lt;100000,"$50K–$100K",
     H593&lt;200000,"$100K–$200K", H593&lt;500000,"$200K–$500K",
     H593&gt;=500000,"$500K+")</f>
        <v>$200K–$500K</v>
      </c>
      <c r="J593" s="9" t="str">
        <f t="shared" si="45"/>
        <v>2020s</v>
      </c>
      <c r="K593">
        <f t="shared" si="46"/>
        <v>5.8865464914960787E-2</v>
      </c>
      <c r="L593">
        <f t="shared" si="47"/>
        <v>0.30658198614318705</v>
      </c>
      <c r="M593">
        <f t="shared" si="48"/>
        <v>0.76595744680851063</v>
      </c>
      <c r="N593">
        <f t="shared" si="49"/>
        <v>0.37713496595555279</v>
      </c>
    </row>
    <row r="594" spans="1:14">
      <c r="A594" t="s">
        <v>19</v>
      </c>
      <c r="B594" t="s">
        <v>97</v>
      </c>
      <c r="C594">
        <v>2021</v>
      </c>
      <c r="D594">
        <v>3.9</v>
      </c>
      <c r="E594">
        <v>612</v>
      </c>
      <c r="F594">
        <v>561</v>
      </c>
      <c r="G594">
        <v>3.3</v>
      </c>
      <c r="H594" s="4">
        <v>222630</v>
      </c>
      <c r="I594" s="8" t="str" cm="1">
        <f t="array" ref="I594">_xlfn.IFS(H594&lt;50000,"Under $50K", H594&lt;100000,"$50K–$100K",
     H594&lt;200000,"$100K–$200K", H594&lt;500000,"$200K–$500K",
     H594&gt;=500000,"$500K+")</f>
        <v>$200K–$500K</v>
      </c>
      <c r="J594" s="9" t="str">
        <f t="shared" si="45"/>
        <v>2020s</v>
      </c>
      <c r="K594">
        <f t="shared" si="46"/>
        <v>4.3894490273958649E-2</v>
      </c>
      <c r="L594">
        <f t="shared" si="47"/>
        <v>0.32390300230946883</v>
      </c>
      <c r="M594">
        <f t="shared" si="48"/>
        <v>0.68085106382978733</v>
      </c>
      <c r="N594">
        <f t="shared" si="49"/>
        <v>0.34954951880440494</v>
      </c>
    </row>
    <row r="595" spans="1:14">
      <c r="A595" t="s">
        <v>13</v>
      </c>
      <c r="B595" t="s">
        <v>185</v>
      </c>
      <c r="C595">
        <v>2022</v>
      </c>
      <c r="D595">
        <v>2.9</v>
      </c>
      <c r="E595">
        <v>444</v>
      </c>
      <c r="F595">
        <v>442</v>
      </c>
      <c r="G595">
        <v>3.5</v>
      </c>
      <c r="H595" s="4">
        <v>75400</v>
      </c>
      <c r="I595" s="8" t="str" cm="1">
        <f t="array" ref="I595">_xlfn.IFS(H595&lt;50000,"Under $50K", H595&lt;100000,"$50K–$100K",
     H595&lt;200000,"$100K–$200K", H595&lt;500000,"$200K–$500K",
     H595&gt;=500000,"$500K+")</f>
        <v>$50K–$100K</v>
      </c>
      <c r="J595" s="9" t="str">
        <f t="shared" si="45"/>
        <v>2020s</v>
      </c>
      <c r="K595">
        <f t="shared" si="46"/>
        <v>2.6784804969956208E-2</v>
      </c>
      <c r="L595">
        <f t="shared" si="47"/>
        <v>0.25519630484988454</v>
      </c>
      <c r="M595">
        <f t="shared" si="48"/>
        <v>0.63829787234042556</v>
      </c>
      <c r="N595">
        <f t="shared" si="49"/>
        <v>0.30675966072008881</v>
      </c>
    </row>
    <row r="596" spans="1:14">
      <c r="A596" t="s">
        <v>29</v>
      </c>
      <c r="B596" t="s">
        <v>103</v>
      </c>
      <c r="C596">
        <v>2020</v>
      </c>
      <c r="D596">
        <v>3.8</v>
      </c>
      <c r="E596">
        <v>562</v>
      </c>
      <c r="F596">
        <v>443</v>
      </c>
      <c r="G596">
        <v>3.1</v>
      </c>
      <c r="H596" s="4">
        <v>208000</v>
      </c>
      <c r="I596" s="8" t="str" cm="1">
        <f t="array" ref="I596">_xlfn.IFS(H596&lt;50000,"Under $50K", H596&lt;100000,"$50K–$100K",
     H596&lt;200000,"$100K–$200K", H596&lt;500000,"$200K–$500K",
     H596&gt;=500000,"$500K+")</f>
        <v>$200K–$500K</v>
      </c>
      <c r="J596" s="9" t="str">
        <f t="shared" si="45"/>
        <v>2020s</v>
      </c>
      <c r="K596">
        <f t="shared" si="46"/>
        <v>3.8802322028719832E-2</v>
      </c>
      <c r="L596">
        <f t="shared" si="47"/>
        <v>0.25577367205542723</v>
      </c>
      <c r="M596">
        <f t="shared" si="48"/>
        <v>0.72340425531914887</v>
      </c>
      <c r="N596">
        <f t="shared" si="49"/>
        <v>0.33932674980109861</v>
      </c>
    </row>
    <row r="597" spans="1:14">
      <c r="A597" t="s">
        <v>15</v>
      </c>
      <c r="B597" t="s">
        <v>113</v>
      </c>
      <c r="C597">
        <v>2022</v>
      </c>
      <c r="D597">
        <v>3</v>
      </c>
      <c r="E597">
        <v>405</v>
      </c>
      <c r="F597">
        <v>406</v>
      </c>
      <c r="G597">
        <v>4.2</v>
      </c>
      <c r="H597" s="4">
        <v>58900</v>
      </c>
      <c r="I597" s="8" t="str" cm="1">
        <f t="array" ref="I597">_xlfn.IFS(H597&lt;50000,"Under $50K", H597&lt;100000,"$50K–$100K",
     H597&lt;200000,"$100K–$200K", H597&lt;500000,"$200K–$500K",
     H597&gt;=500000,"$500K+")</f>
        <v>$50K–$100K</v>
      </c>
      <c r="J597" s="9" t="str">
        <f t="shared" si="45"/>
        <v>2020s</v>
      </c>
      <c r="K597">
        <f t="shared" si="46"/>
        <v>2.2812913738669924E-2</v>
      </c>
      <c r="L597">
        <f t="shared" si="47"/>
        <v>0.23441108545034642</v>
      </c>
      <c r="M597">
        <f t="shared" si="48"/>
        <v>0.4893617021276595</v>
      </c>
      <c r="N597">
        <f t="shared" si="49"/>
        <v>0.24886190043889198</v>
      </c>
    </row>
    <row r="598" spans="1:14">
      <c r="A598" t="s">
        <v>31</v>
      </c>
      <c r="B598" t="s">
        <v>214</v>
      </c>
      <c r="C598">
        <v>2022</v>
      </c>
      <c r="D598">
        <v>3</v>
      </c>
      <c r="E598">
        <v>429</v>
      </c>
      <c r="F598">
        <v>384</v>
      </c>
      <c r="G598">
        <v>4.9000000000000004</v>
      </c>
      <c r="H598" s="4">
        <v>96250</v>
      </c>
      <c r="I598" s="8" t="str" cm="1">
        <f t="array" ref="I598">_xlfn.IFS(H598&lt;50000,"Under $50K", H598&lt;100000,"$50K–$100K",
     H598&lt;200000,"$100K–$200K", H598&lt;500000,"$200K–$500K",
     H598&gt;=500000,"$500K+")</f>
        <v>$50K–$100K</v>
      </c>
      <c r="J598" s="9" t="str">
        <f t="shared" si="45"/>
        <v>2020s</v>
      </c>
      <c r="K598">
        <f t="shared" si="46"/>
        <v>2.5257154496384559E-2</v>
      </c>
      <c r="L598">
        <f t="shared" si="47"/>
        <v>0.22170900692840648</v>
      </c>
      <c r="M598">
        <f t="shared" si="48"/>
        <v>0.34042553191489355</v>
      </c>
      <c r="N598">
        <f t="shared" si="49"/>
        <v>0.19579723111322819</v>
      </c>
    </row>
    <row r="599" spans="1:14">
      <c r="A599" t="s">
        <v>17</v>
      </c>
      <c r="B599" t="s">
        <v>215</v>
      </c>
      <c r="C599">
        <v>2021</v>
      </c>
      <c r="D599">
        <v>6.2</v>
      </c>
      <c r="E599">
        <v>455</v>
      </c>
      <c r="F599">
        <v>455</v>
      </c>
      <c r="G599">
        <v>4</v>
      </c>
      <c r="H599" s="4">
        <v>25000</v>
      </c>
      <c r="I599" s="8" t="str" cm="1">
        <f t="array" ref="I599">_xlfn.IFS(H599&lt;50000,"Under $50K", H599&lt;100000,"$50K–$100K",
     H599&lt;200000,"$100K–$200K", H599&lt;500000,"$200K–$500K",
     H599&gt;=500000,"$500K+")</f>
        <v>Under $50K</v>
      </c>
      <c r="J599" s="9" t="str">
        <f t="shared" si="45"/>
        <v>2020s</v>
      </c>
      <c r="K599">
        <f t="shared" si="46"/>
        <v>2.7905081983908748E-2</v>
      </c>
      <c r="L599">
        <f t="shared" si="47"/>
        <v>0.26270207852193994</v>
      </c>
      <c r="M599">
        <f t="shared" si="48"/>
        <v>0.53191489361702127</v>
      </c>
      <c r="N599">
        <f t="shared" si="49"/>
        <v>0.27417401804095665</v>
      </c>
    </row>
    <row r="600" spans="1:14">
      <c r="A600" t="s">
        <v>20</v>
      </c>
      <c r="B600" t="s">
        <v>92</v>
      </c>
      <c r="C600">
        <v>2022</v>
      </c>
      <c r="D600">
        <v>3.5</v>
      </c>
      <c r="E600">
        <v>660</v>
      </c>
      <c r="F600">
        <v>550</v>
      </c>
      <c r="G600">
        <v>3</v>
      </c>
      <c r="H600" s="4">
        <v>500000</v>
      </c>
      <c r="I600" s="8" t="str" cm="1">
        <f t="array" ref="I600">_xlfn.IFS(H600&lt;50000,"Under $50K", H600&lt;100000,"$50K–$100K",
     H600&lt;200000,"$100K–$200K", H600&lt;500000,"$200K–$500K",
     H600&gt;=500000,"$500K+")</f>
        <v>$500K+</v>
      </c>
      <c r="J600" s="9" t="str">
        <f t="shared" si="45"/>
        <v>2020s</v>
      </c>
      <c r="K600">
        <f t="shared" si="46"/>
        <v>4.8782971789387924E-2</v>
      </c>
      <c r="L600">
        <f t="shared" si="47"/>
        <v>0.31755196304849886</v>
      </c>
      <c r="M600">
        <f t="shared" si="48"/>
        <v>0.74468085106382986</v>
      </c>
      <c r="N600">
        <f t="shared" si="49"/>
        <v>0.37033859530057223</v>
      </c>
    </row>
    <row r="601" spans="1:14">
      <c r="A601" t="s">
        <v>32</v>
      </c>
      <c r="B601" t="s">
        <v>93</v>
      </c>
      <c r="C601">
        <v>2021</v>
      </c>
      <c r="D601">
        <v>3.7</v>
      </c>
      <c r="E601">
        <v>350</v>
      </c>
      <c r="F601">
        <v>276</v>
      </c>
      <c r="G601">
        <v>5</v>
      </c>
      <c r="H601" s="4">
        <v>45000</v>
      </c>
      <c r="I601" s="8" t="str" cm="1">
        <f t="array" ref="I601">_xlfn.IFS(H601&lt;50000,"Under $50K", H601&lt;100000,"$50K–$100K",
     H601&lt;200000,"$100K–$200K", H601&lt;500000,"$200K–$500K",
     H601&gt;=500000,"$500K+")</f>
        <v>Under $50K</v>
      </c>
      <c r="J601" s="9" t="str">
        <f t="shared" si="45"/>
        <v>2020s</v>
      </c>
      <c r="K601">
        <f t="shared" si="46"/>
        <v>1.7211528668907222E-2</v>
      </c>
      <c r="L601">
        <f t="shared" si="47"/>
        <v>0.15935334872979215</v>
      </c>
      <c r="M601">
        <f t="shared" si="48"/>
        <v>0.31914893617021278</v>
      </c>
      <c r="N601">
        <f t="shared" si="49"/>
        <v>0.16523793785630406</v>
      </c>
    </row>
    <row r="602" spans="1:14">
      <c r="A602" t="s">
        <v>12</v>
      </c>
      <c r="B602" t="s">
        <v>132</v>
      </c>
      <c r="C602">
        <v>2021</v>
      </c>
      <c r="D602">
        <v>5.2</v>
      </c>
      <c r="E602">
        <v>715</v>
      </c>
      <c r="F602">
        <v>664</v>
      </c>
      <c r="G602">
        <v>3.4</v>
      </c>
      <c r="H602" s="4">
        <v>307820</v>
      </c>
      <c r="I602" s="8" t="str" cm="1">
        <f t="array" ref="I602">_xlfn.IFS(H602&lt;50000,"Under $50K", H602&lt;100000,"$50K–$100K",
     H602&lt;200000,"$100K–$200K", H602&lt;500000,"$200K–$500K",
     H602&gt;=500000,"$500K+")</f>
        <v>$200K–$500K</v>
      </c>
      <c r="J602" s="9" t="str">
        <f t="shared" si="45"/>
        <v>2020s</v>
      </c>
      <c r="K602">
        <f t="shared" si="46"/>
        <v>5.4384356859150627E-2</v>
      </c>
      <c r="L602">
        <f t="shared" si="47"/>
        <v>0.38337182448036949</v>
      </c>
      <c r="M602">
        <f t="shared" si="48"/>
        <v>0.65957446808510645</v>
      </c>
      <c r="N602">
        <f t="shared" si="49"/>
        <v>0.36577688314154216</v>
      </c>
    </row>
    <row r="603" spans="1:14">
      <c r="A603" t="s">
        <v>26</v>
      </c>
      <c r="B603" t="s">
        <v>75</v>
      </c>
      <c r="C603">
        <v>2021</v>
      </c>
      <c r="D603">
        <v>3.5</v>
      </c>
      <c r="E603">
        <v>416</v>
      </c>
      <c r="F603">
        <v>317</v>
      </c>
      <c r="G603">
        <v>3.8</v>
      </c>
      <c r="H603" s="4">
        <v>100450</v>
      </c>
      <c r="I603" s="8" t="str" cm="1">
        <f t="array" ref="I603">_xlfn.IFS(H603&lt;50000,"Under $50K", H603&lt;100000,"$50K–$100K",
     H603&lt;200000,"$100K–$200K", H603&lt;500000,"$200K–$500K",
     H603&gt;=500000,"$500K+")</f>
        <v>$100K–$200K</v>
      </c>
      <c r="J603" s="9" t="str">
        <f t="shared" si="45"/>
        <v>2020s</v>
      </c>
      <c r="K603">
        <f t="shared" si="46"/>
        <v>2.3933190752622468E-2</v>
      </c>
      <c r="L603">
        <f t="shared" si="47"/>
        <v>0.18302540415704388</v>
      </c>
      <c r="M603">
        <f t="shared" si="48"/>
        <v>0.57446808510638303</v>
      </c>
      <c r="N603">
        <f t="shared" si="49"/>
        <v>0.26047556000534983</v>
      </c>
    </row>
    <row r="604" spans="1:14">
      <c r="A604" t="s">
        <v>27</v>
      </c>
      <c r="B604" t="s">
        <v>76</v>
      </c>
      <c r="C604">
        <v>2021</v>
      </c>
      <c r="D604">
        <v>4.7</v>
      </c>
      <c r="E604">
        <v>454</v>
      </c>
      <c r="F604">
        <v>384</v>
      </c>
      <c r="G604">
        <v>4.7</v>
      </c>
      <c r="H604" s="4">
        <v>134300</v>
      </c>
      <c r="I604" s="8" t="str" cm="1">
        <f t="array" ref="I604">_xlfn.IFS(H604&lt;50000,"Under $50K", H604&lt;100000,"$50K–$100K",
     H604&lt;200000,"$100K–$200K", H604&lt;500000,"$200K–$500K",
     H604&gt;=500000,"$500K+")</f>
        <v>$100K–$200K</v>
      </c>
      <c r="J604" s="9" t="str">
        <f t="shared" si="45"/>
        <v>2020s</v>
      </c>
      <c r="K604">
        <f t="shared" si="46"/>
        <v>2.7803238619003971E-2</v>
      </c>
      <c r="L604">
        <f t="shared" si="47"/>
        <v>0.22170900692840648</v>
      </c>
      <c r="M604">
        <f t="shared" si="48"/>
        <v>0.38297872340425532</v>
      </c>
      <c r="N604">
        <f t="shared" si="49"/>
        <v>0.2108303229838886</v>
      </c>
    </row>
    <row r="605" spans="1:14">
      <c r="A605" t="s">
        <v>36</v>
      </c>
      <c r="B605" t="s">
        <v>108</v>
      </c>
      <c r="C605">
        <v>2022</v>
      </c>
      <c r="D605">
        <v>2.9</v>
      </c>
      <c r="E605">
        <v>325</v>
      </c>
      <c r="F605">
        <v>331</v>
      </c>
      <c r="G605">
        <v>5.2</v>
      </c>
      <c r="H605" s="4">
        <v>88550</v>
      </c>
      <c r="I605" s="8" t="str" cm="1">
        <f t="array" ref="I605">_xlfn.IFS(H605&lt;50000,"Under $50K", H605&lt;100000,"$50K–$100K",
     H605&lt;200000,"$100K–$200K", H605&lt;500000,"$200K–$500K",
     H605&gt;=500000,"$500K+")</f>
        <v>$50K–$100K</v>
      </c>
      <c r="J605" s="9" t="str">
        <f t="shared" si="45"/>
        <v>2020s</v>
      </c>
      <c r="K605">
        <f t="shared" si="46"/>
        <v>1.466544454628781E-2</v>
      </c>
      <c r="L605">
        <f t="shared" si="47"/>
        <v>0.19110854503464203</v>
      </c>
      <c r="M605">
        <f t="shared" si="48"/>
        <v>0.27659574468085102</v>
      </c>
      <c r="N605">
        <f t="shared" si="49"/>
        <v>0.16078991142059362</v>
      </c>
    </row>
    <row r="606" spans="1:14">
      <c r="A606" t="s">
        <v>24</v>
      </c>
      <c r="B606" t="s">
        <v>96</v>
      </c>
      <c r="C606">
        <v>2021</v>
      </c>
      <c r="D606">
        <v>4</v>
      </c>
      <c r="E606">
        <v>641</v>
      </c>
      <c r="F606">
        <v>627</v>
      </c>
      <c r="G606">
        <v>3.6</v>
      </c>
      <c r="H606" s="4">
        <v>218009</v>
      </c>
      <c r="I606" s="8" t="str" cm="1">
        <f t="array" ref="I606">_xlfn.IFS(H606&lt;50000,"Under $50K", H606&lt;100000,"$50K–$100K",
     H606&lt;200000,"$100K–$200K", H606&lt;500000,"$200K–$500K",
     H606&gt;=500000,"$500K+")</f>
        <v>$200K–$500K</v>
      </c>
      <c r="J606" s="9" t="str">
        <f t="shared" si="45"/>
        <v>2020s</v>
      </c>
      <c r="K606">
        <f t="shared" si="46"/>
        <v>4.684794785619717E-2</v>
      </c>
      <c r="L606">
        <f t="shared" si="47"/>
        <v>0.36200923787528866</v>
      </c>
      <c r="M606">
        <f t="shared" si="48"/>
        <v>0.61702127659574468</v>
      </c>
      <c r="N606">
        <f t="shared" si="49"/>
        <v>0.34195948744241017</v>
      </c>
    </row>
    <row r="607" spans="1:14">
      <c r="A607" t="s">
        <v>19</v>
      </c>
      <c r="B607" t="s">
        <v>88</v>
      </c>
      <c r="C607">
        <v>2021</v>
      </c>
      <c r="D607">
        <v>4</v>
      </c>
      <c r="E607">
        <v>986</v>
      </c>
      <c r="F607">
        <v>590</v>
      </c>
      <c r="G607">
        <v>2.5</v>
      </c>
      <c r="H607" s="4">
        <v>625000</v>
      </c>
      <c r="I607" s="8" t="str" cm="1">
        <f t="array" ref="I607">_xlfn.IFS(H607&lt;50000,"Under $50K", H607&lt;100000,"$50K–$100K",
     H607&lt;200000,"$100K–$200K", H607&lt;500000,"$200K–$500K",
     H607&gt;=500000,"$500K+")</f>
        <v>$500K+</v>
      </c>
      <c r="J607" s="9" t="str">
        <f t="shared" si="45"/>
        <v>2020s</v>
      </c>
      <c r="K607">
        <f t="shared" si="46"/>
        <v>8.1983908748345047E-2</v>
      </c>
      <c r="L607">
        <f t="shared" si="47"/>
        <v>0.34064665127020788</v>
      </c>
      <c r="M607">
        <f t="shared" si="48"/>
        <v>0.85106382978723405</v>
      </c>
      <c r="N607">
        <f t="shared" si="49"/>
        <v>0.42456479660192903</v>
      </c>
    </row>
    <row r="608" spans="1:14">
      <c r="A608" t="s">
        <v>13</v>
      </c>
      <c r="B608" t="s">
        <v>147</v>
      </c>
      <c r="C608">
        <v>2022</v>
      </c>
      <c r="D608">
        <v>4</v>
      </c>
      <c r="E608">
        <v>591</v>
      </c>
      <c r="F608">
        <v>590</v>
      </c>
      <c r="G608">
        <v>3.5</v>
      </c>
      <c r="H608" s="4">
        <v>109000</v>
      </c>
      <c r="I608" s="8" t="str" cm="1">
        <f t="array" ref="I608">_xlfn.IFS(H608&lt;50000,"Under $50K", H608&lt;100000,"$50K–$100K",
     H608&lt;200000,"$100K–$200K", H608&lt;500000,"$200K–$500K",
     H608&gt;=500000,"$500K+")</f>
        <v>$100K–$200K</v>
      </c>
      <c r="J608" s="9" t="str">
        <f t="shared" si="45"/>
        <v>2020s</v>
      </c>
      <c r="K608">
        <f t="shared" si="46"/>
        <v>4.1755779610958346E-2</v>
      </c>
      <c r="L608">
        <f t="shared" si="47"/>
        <v>0.34064665127020788</v>
      </c>
      <c r="M608">
        <f t="shared" si="48"/>
        <v>0.63829787234042556</v>
      </c>
      <c r="N608">
        <f t="shared" si="49"/>
        <v>0.34023343440719728</v>
      </c>
    </row>
    <row r="609" spans="1:14">
      <c r="A609" t="s">
        <v>29</v>
      </c>
      <c r="B609" t="s">
        <v>81</v>
      </c>
      <c r="C609">
        <v>2022</v>
      </c>
      <c r="D609">
        <v>3</v>
      </c>
      <c r="E609">
        <v>671</v>
      </c>
      <c r="F609">
        <v>531</v>
      </c>
      <c r="G609">
        <v>3</v>
      </c>
      <c r="H609" s="4">
        <v>225000</v>
      </c>
      <c r="I609" s="8" t="str" cm="1">
        <f t="array" ref="I609">_xlfn.IFS(H609&lt;50000,"Under $50K", H609&lt;100000,"$50K–$100K",
     H609&lt;200000,"$100K–$200K", H609&lt;500000,"$200K–$500K",
     H609&gt;=500000,"$500K+")</f>
        <v>$200K–$500K</v>
      </c>
      <c r="J609" s="9" t="str">
        <f t="shared" si="45"/>
        <v>2020s</v>
      </c>
      <c r="K609">
        <f t="shared" si="46"/>
        <v>4.9903248803340461E-2</v>
      </c>
      <c r="L609">
        <f t="shared" si="47"/>
        <v>0.30658198614318705</v>
      </c>
      <c r="M609">
        <f t="shared" si="48"/>
        <v>0.74468085106382986</v>
      </c>
      <c r="N609">
        <f t="shared" si="49"/>
        <v>0.36705536200345246</v>
      </c>
    </row>
    <row r="610" spans="1:14">
      <c r="A610" t="s">
        <v>36</v>
      </c>
      <c r="B610" t="s">
        <v>94</v>
      </c>
      <c r="C610">
        <v>2021</v>
      </c>
      <c r="D610" t="s">
        <v>216</v>
      </c>
      <c r="E610">
        <v>429</v>
      </c>
      <c r="F610">
        <v>472</v>
      </c>
      <c r="G610">
        <v>3.8</v>
      </c>
      <c r="H610" s="4">
        <v>103800</v>
      </c>
      <c r="I610" s="8" t="str" cm="1">
        <f t="array" ref="I610">_xlfn.IFS(H610&lt;50000,"Under $50K", H610&lt;100000,"$50K–$100K",
     H610&lt;200000,"$100K–$200K", H610&lt;500000,"$200K–$500K",
     H610&gt;=500000,"$500K+")</f>
        <v>$100K–$200K</v>
      </c>
      <c r="J610" s="9" t="str">
        <f t="shared" si="45"/>
        <v>2020s</v>
      </c>
      <c r="K610">
        <f t="shared" si="46"/>
        <v>2.5257154496384559E-2</v>
      </c>
      <c r="L610">
        <f t="shared" si="47"/>
        <v>0.27251732101616627</v>
      </c>
      <c r="M610">
        <f t="shared" si="48"/>
        <v>0.57446808510638303</v>
      </c>
      <c r="N610">
        <f t="shared" si="49"/>
        <v>0.29074752020631128</v>
      </c>
    </row>
    <row r="611" spans="1:14">
      <c r="A611" t="s">
        <v>24</v>
      </c>
      <c r="B611" t="s">
        <v>153</v>
      </c>
      <c r="C611">
        <v>2021</v>
      </c>
      <c r="D611">
        <v>6.5</v>
      </c>
      <c r="E611">
        <v>730</v>
      </c>
      <c r="F611">
        <v>509</v>
      </c>
      <c r="G611">
        <v>2.9</v>
      </c>
      <c r="H611" s="4">
        <v>417650</v>
      </c>
      <c r="I611" s="8" t="str" cm="1">
        <f t="array" ref="I611">_xlfn.IFS(H611&lt;50000,"Under $50K", H611&lt;100000,"$50K–$100K",
     H611&lt;200000,"$100K–$200K", H611&lt;500000,"$200K–$500K",
     H611&gt;=500000,"$500K+")</f>
        <v>$200K–$500K</v>
      </c>
      <c r="J611" s="9" t="str">
        <f t="shared" si="45"/>
        <v>2020s</v>
      </c>
      <c r="K611">
        <f t="shared" si="46"/>
        <v>5.5912007332722273E-2</v>
      </c>
      <c r="L611">
        <f t="shared" si="47"/>
        <v>0.29387990762124711</v>
      </c>
      <c r="M611">
        <f t="shared" si="48"/>
        <v>0.76595744680851063</v>
      </c>
      <c r="N611">
        <f t="shared" si="49"/>
        <v>0.37191645392082667</v>
      </c>
    </row>
    <row r="612" spans="1:14">
      <c r="A612" t="s">
        <v>19</v>
      </c>
      <c r="B612" t="s">
        <v>88</v>
      </c>
      <c r="C612">
        <v>2021</v>
      </c>
      <c r="D612">
        <v>4</v>
      </c>
      <c r="E612">
        <v>986</v>
      </c>
      <c r="F612">
        <v>590</v>
      </c>
      <c r="G612">
        <v>2.5</v>
      </c>
      <c r="H612" s="4">
        <v>625000</v>
      </c>
      <c r="I612" s="8" t="str" cm="1">
        <f t="array" ref="I612">_xlfn.IFS(H612&lt;50000,"Under $50K", H612&lt;100000,"$50K–$100K",
     H612&lt;200000,"$100K–$200K", H612&lt;500000,"$200K–$500K",
     H612&gt;=500000,"$500K+")</f>
        <v>$500K+</v>
      </c>
      <c r="J612" s="9" t="str">
        <f t="shared" si="45"/>
        <v>2020s</v>
      </c>
      <c r="K612">
        <f t="shared" si="46"/>
        <v>8.1983908748345047E-2</v>
      </c>
      <c r="L612">
        <f t="shared" si="47"/>
        <v>0.34064665127020788</v>
      </c>
      <c r="M612">
        <f t="shared" si="48"/>
        <v>0.85106382978723405</v>
      </c>
      <c r="N612">
        <f t="shared" si="49"/>
        <v>0.42456479660192903</v>
      </c>
    </row>
    <row r="613" spans="1:14">
      <c r="A613" t="s">
        <v>13</v>
      </c>
      <c r="B613" t="s">
        <v>152</v>
      </c>
      <c r="C613">
        <v>2022</v>
      </c>
      <c r="D613">
        <v>4</v>
      </c>
      <c r="E613">
        <v>591</v>
      </c>
      <c r="F613">
        <v>590</v>
      </c>
      <c r="G613">
        <v>3.5</v>
      </c>
      <c r="H613" s="4">
        <v>117000</v>
      </c>
      <c r="I613" s="8" t="str" cm="1">
        <f t="array" ref="I613">_xlfn.IFS(H613&lt;50000,"Under $50K", H613&lt;100000,"$50K–$100K",
     H613&lt;200000,"$100K–$200K", H613&lt;500000,"$200K–$500K",
     H613&gt;=500000,"$500K+")</f>
        <v>$100K–$200K</v>
      </c>
      <c r="J613" s="9" t="str">
        <f t="shared" si="45"/>
        <v>2020s</v>
      </c>
      <c r="K613">
        <f t="shared" si="46"/>
        <v>4.1755779610958346E-2</v>
      </c>
      <c r="L613">
        <f t="shared" si="47"/>
        <v>0.34064665127020788</v>
      </c>
      <c r="M613">
        <f t="shared" si="48"/>
        <v>0.63829787234042556</v>
      </c>
      <c r="N613">
        <f t="shared" si="49"/>
        <v>0.34023343440719728</v>
      </c>
    </row>
    <row r="614" spans="1:14">
      <c r="A614" t="s">
        <v>29</v>
      </c>
      <c r="B614" t="s">
        <v>103</v>
      </c>
      <c r="C614">
        <v>2021</v>
      </c>
      <c r="D614">
        <v>3.8</v>
      </c>
      <c r="E614">
        <v>562</v>
      </c>
      <c r="F614">
        <v>443</v>
      </c>
      <c r="G614">
        <v>3.1</v>
      </c>
      <c r="H614" s="4">
        <v>192500</v>
      </c>
      <c r="I614" s="8" t="str" cm="1">
        <f t="array" ref="I614">_xlfn.IFS(H614&lt;50000,"Under $50K", H614&lt;100000,"$50K–$100K",
     H614&lt;200000,"$100K–$200K", H614&lt;500000,"$200K–$500K",
     H614&gt;=500000,"$500K+")</f>
        <v>$100K–$200K</v>
      </c>
      <c r="J614" s="9" t="str">
        <f t="shared" si="45"/>
        <v>2020s</v>
      </c>
      <c r="K614">
        <f t="shared" si="46"/>
        <v>3.8802322028719832E-2</v>
      </c>
      <c r="L614">
        <f t="shared" si="47"/>
        <v>0.25577367205542723</v>
      </c>
      <c r="M614">
        <f t="shared" si="48"/>
        <v>0.72340425531914887</v>
      </c>
      <c r="N614">
        <f t="shared" si="49"/>
        <v>0.33932674980109861</v>
      </c>
    </row>
    <row r="615" spans="1:14">
      <c r="A615" t="s">
        <v>15</v>
      </c>
      <c r="B615" t="s">
        <v>90</v>
      </c>
      <c r="C615">
        <v>2021</v>
      </c>
      <c r="D615">
        <v>3</v>
      </c>
      <c r="E615">
        <v>473</v>
      </c>
      <c r="F615">
        <v>406</v>
      </c>
      <c r="G615">
        <v>4</v>
      </c>
      <c r="H615" s="4">
        <v>72800</v>
      </c>
      <c r="I615" s="8" t="str" cm="1">
        <f t="array" ref="I615">_xlfn.IFS(H615&lt;50000,"Under $50K", H615&lt;100000,"$50K–$100K",
     H615&lt;200000,"$100K–$200K", H615&lt;500000,"$200K–$500K",
     H615&gt;=500000,"$500K+")</f>
        <v>$50K–$100K</v>
      </c>
      <c r="J615" s="9" t="str">
        <f t="shared" si="45"/>
        <v>2020s</v>
      </c>
      <c r="K615">
        <f t="shared" si="46"/>
        <v>2.9738262552194725E-2</v>
      </c>
      <c r="L615">
        <f t="shared" si="47"/>
        <v>0.23441108545034642</v>
      </c>
      <c r="M615">
        <f t="shared" si="48"/>
        <v>0.53191489361702127</v>
      </c>
      <c r="N615">
        <f t="shared" si="49"/>
        <v>0.2653547472065208</v>
      </c>
    </row>
    <row r="616" spans="1:14">
      <c r="A616" t="s">
        <v>31</v>
      </c>
      <c r="B616" t="s">
        <v>82</v>
      </c>
      <c r="C616">
        <v>2015</v>
      </c>
      <c r="D616">
        <v>6.2</v>
      </c>
      <c r="E616">
        <v>622</v>
      </c>
      <c r="F616">
        <v>468</v>
      </c>
      <c r="G616">
        <v>3.5</v>
      </c>
      <c r="H616" s="4">
        <v>228000</v>
      </c>
      <c r="I616" s="8" t="str" cm="1">
        <f t="array" ref="I616">_xlfn.IFS(H616&lt;50000,"Under $50K", H616&lt;100000,"$50K–$100K",
     H616&lt;200000,"$100K–$200K", H616&lt;500000,"$200K–$500K",
     H616&gt;=500000,"$500K+")</f>
        <v>$200K–$500K</v>
      </c>
      <c r="J616" s="9" t="str">
        <f t="shared" si="45"/>
        <v>2010s</v>
      </c>
      <c r="K616">
        <f t="shared" si="46"/>
        <v>4.4912923923006415E-2</v>
      </c>
      <c r="L616">
        <f t="shared" si="47"/>
        <v>0.2702078521939954</v>
      </c>
      <c r="M616">
        <f t="shared" si="48"/>
        <v>0.63829787234042556</v>
      </c>
      <c r="N616">
        <f t="shared" si="49"/>
        <v>0.31780621615247578</v>
      </c>
    </row>
    <row r="617" spans="1:14">
      <c r="A617" t="s">
        <v>17</v>
      </c>
      <c r="B617" t="s">
        <v>105</v>
      </c>
      <c r="C617">
        <v>2021</v>
      </c>
      <c r="D617">
        <v>6.2</v>
      </c>
      <c r="E617">
        <v>455</v>
      </c>
      <c r="F617">
        <v>455</v>
      </c>
      <c r="G617">
        <v>4</v>
      </c>
      <c r="H617" s="4">
        <v>42000</v>
      </c>
      <c r="I617" s="8" t="str" cm="1">
        <f t="array" ref="I617">_xlfn.IFS(H617&lt;50000,"Under $50K", H617&lt;100000,"$50K–$100K",
     H617&lt;200000,"$100K–$200K", H617&lt;500000,"$200K–$500K",
     H617&gt;=500000,"$500K+")</f>
        <v>Under $50K</v>
      </c>
      <c r="J617" s="9" t="str">
        <f t="shared" si="45"/>
        <v>2020s</v>
      </c>
      <c r="K617">
        <f t="shared" si="46"/>
        <v>2.7905081983908748E-2</v>
      </c>
      <c r="L617">
        <f t="shared" si="47"/>
        <v>0.26270207852193994</v>
      </c>
      <c r="M617">
        <f t="shared" si="48"/>
        <v>0.53191489361702127</v>
      </c>
      <c r="N617">
        <f t="shared" si="49"/>
        <v>0.27417401804095665</v>
      </c>
    </row>
    <row r="618" spans="1:14">
      <c r="A618" t="s">
        <v>20</v>
      </c>
      <c r="B618" t="s">
        <v>92</v>
      </c>
      <c r="C618">
        <v>2021</v>
      </c>
      <c r="D618">
        <v>3.5</v>
      </c>
      <c r="E618">
        <v>660</v>
      </c>
      <c r="F618">
        <v>550</v>
      </c>
      <c r="G618">
        <v>3</v>
      </c>
      <c r="H618" s="4">
        <v>500000</v>
      </c>
      <c r="I618" s="8" t="str" cm="1">
        <f t="array" ref="I618">_xlfn.IFS(H618&lt;50000,"Under $50K", H618&lt;100000,"$50K–$100K",
     H618&lt;200000,"$100K–$200K", H618&lt;500000,"$200K–$500K",
     H618&gt;=500000,"$500K+")</f>
        <v>$500K+</v>
      </c>
      <c r="J618" s="9" t="str">
        <f t="shared" si="45"/>
        <v>2020s</v>
      </c>
      <c r="K618">
        <f t="shared" si="46"/>
        <v>4.8782971789387924E-2</v>
      </c>
      <c r="L618">
        <f t="shared" si="47"/>
        <v>0.31755196304849886</v>
      </c>
      <c r="M618">
        <f t="shared" si="48"/>
        <v>0.74468085106382986</v>
      </c>
      <c r="N618">
        <f t="shared" si="49"/>
        <v>0.37033859530057223</v>
      </c>
    </row>
    <row r="619" spans="1:14">
      <c r="A619" t="s">
        <v>32</v>
      </c>
      <c r="B619" t="s">
        <v>93</v>
      </c>
      <c r="C619">
        <v>2021</v>
      </c>
      <c r="D619">
        <v>3.7</v>
      </c>
      <c r="E619">
        <v>350</v>
      </c>
      <c r="F619">
        <v>276</v>
      </c>
      <c r="G619">
        <v>5</v>
      </c>
      <c r="H619" s="4">
        <v>48000</v>
      </c>
      <c r="I619" s="8" t="str" cm="1">
        <f t="array" ref="I619">_xlfn.IFS(H619&lt;50000,"Under $50K", H619&lt;100000,"$50K–$100K",
     H619&lt;200000,"$100K–$200K", H619&lt;500000,"$200K–$500K",
     H619&gt;=500000,"$500K+")</f>
        <v>Under $50K</v>
      </c>
      <c r="J619" s="9" t="str">
        <f t="shared" si="45"/>
        <v>2020s</v>
      </c>
      <c r="K619">
        <f t="shared" si="46"/>
        <v>1.7211528668907222E-2</v>
      </c>
      <c r="L619">
        <f t="shared" si="47"/>
        <v>0.15935334872979215</v>
      </c>
      <c r="M619">
        <f t="shared" si="48"/>
        <v>0.31914893617021278</v>
      </c>
      <c r="N619">
        <f t="shared" si="49"/>
        <v>0.16523793785630406</v>
      </c>
    </row>
    <row r="620" spans="1:14">
      <c r="A620" t="s">
        <v>12</v>
      </c>
      <c r="B620" t="s">
        <v>132</v>
      </c>
      <c r="C620">
        <v>2021</v>
      </c>
      <c r="D620">
        <v>5.2</v>
      </c>
      <c r="E620">
        <v>715</v>
      </c>
      <c r="F620">
        <v>664</v>
      </c>
      <c r="G620">
        <v>3.2</v>
      </c>
      <c r="H620" s="4">
        <v>307820</v>
      </c>
      <c r="I620" s="8" t="str" cm="1">
        <f t="array" ref="I620">_xlfn.IFS(H620&lt;50000,"Under $50K", H620&lt;100000,"$50K–$100K",
     H620&lt;200000,"$100K–$200K", H620&lt;500000,"$200K–$500K",
     H620&gt;=500000,"$500K+")</f>
        <v>$200K–$500K</v>
      </c>
      <c r="J620" s="9" t="str">
        <f t="shared" si="45"/>
        <v>2020s</v>
      </c>
      <c r="K620">
        <f t="shared" si="46"/>
        <v>5.4384356859150627E-2</v>
      </c>
      <c r="L620">
        <f t="shared" si="47"/>
        <v>0.38337182448036949</v>
      </c>
      <c r="M620">
        <f t="shared" si="48"/>
        <v>0.7021276595744681</v>
      </c>
      <c r="N620">
        <f t="shared" si="49"/>
        <v>0.37996128030466275</v>
      </c>
    </row>
    <row r="621" spans="1:14">
      <c r="A621" t="s">
        <v>25</v>
      </c>
      <c r="B621" t="s">
        <v>74</v>
      </c>
      <c r="C621">
        <v>2021</v>
      </c>
      <c r="D621">
        <v>5</v>
      </c>
      <c r="E621">
        <v>471</v>
      </c>
      <c r="F621">
        <v>398</v>
      </c>
      <c r="G621">
        <v>4.4000000000000004</v>
      </c>
      <c r="H621" s="4">
        <v>93000</v>
      </c>
      <c r="I621" s="8" t="str" cm="1">
        <f t="array" ref="I621">_xlfn.IFS(H621&lt;50000,"Under $50K", H621&lt;100000,"$50K–$100K",
     H621&lt;200000,"$100K–$200K", H621&lt;500000,"$200K–$500K",
     H621&gt;=500000,"$500K+")</f>
        <v>$50K–$100K</v>
      </c>
      <c r="J621" s="9" t="str">
        <f t="shared" si="45"/>
        <v>2020s</v>
      </c>
      <c r="K621">
        <f t="shared" si="46"/>
        <v>2.9534575822385171E-2</v>
      </c>
      <c r="L621">
        <f t="shared" si="47"/>
        <v>0.22979214780600463</v>
      </c>
      <c r="M621">
        <f t="shared" si="48"/>
        <v>0.44680851063829774</v>
      </c>
      <c r="N621">
        <f t="shared" si="49"/>
        <v>0.23537841142222918</v>
      </c>
    </row>
    <row r="622" spans="1:14">
      <c r="A622" t="s">
        <v>14</v>
      </c>
      <c r="B622" t="s">
        <v>80</v>
      </c>
      <c r="C622">
        <v>2021</v>
      </c>
      <c r="D622">
        <v>4</v>
      </c>
      <c r="E622">
        <v>626</v>
      </c>
      <c r="F622">
        <v>664</v>
      </c>
      <c r="G622">
        <v>3.3</v>
      </c>
      <c r="H622" s="4">
        <v>202500</v>
      </c>
      <c r="I622" s="8" t="str" cm="1">
        <f t="array" ref="I622">_xlfn.IFS(H622&lt;50000,"Under $50K", H622&lt;100000,"$50K–$100K",
     H622&lt;200000,"$100K–$200K", H622&lt;500000,"$200K–$500K",
     H622&gt;=500000,"$500K+")</f>
        <v>$200K–$500K</v>
      </c>
      <c r="J622" s="9" t="str">
        <f t="shared" si="45"/>
        <v>2020s</v>
      </c>
      <c r="K622">
        <f t="shared" si="46"/>
        <v>4.5320297382625524E-2</v>
      </c>
      <c r="L622">
        <f t="shared" si="47"/>
        <v>0.38337182448036949</v>
      </c>
      <c r="M622">
        <f t="shared" si="48"/>
        <v>0.68085106382978733</v>
      </c>
      <c r="N622">
        <f t="shared" si="49"/>
        <v>0.36984772856426079</v>
      </c>
    </row>
    <row r="623" spans="1:14">
      <c r="A623" t="s">
        <v>27</v>
      </c>
      <c r="B623" t="s">
        <v>76</v>
      </c>
      <c r="C623">
        <v>2021</v>
      </c>
      <c r="D623">
        <v>4.7</v>
      </c>
      <c r="E623">
        <v>454</v>
      </c>
      <c r="F623">
        <v>384</v>
      </c>
      <c r="G623">
        <v>4.7</v>
      </c>
      <c r="H623" s="4">
        <v>150980</v>
      </c>
      <c r="I623" s="8" t="str" cm="1">
        <f t="array" ref="I623">_xlfn.IFS(H623&lt;50000,"Under $50K", H623&lt;100000,"$50K–$100K",
     H623&lt;200000,"$100K–$200K", H623&lt;500000,"$200K–$500K",
     H623&gt;=500000,"$500K+")</f>
        <v>$100K–$200K</v>
      </c>
      <c r="J623" s="9" t="str">
        <f t="shared" si="45"/>
        <v>2020s</v>
      </c>
      <c r="K623">
        <f t="shared" si="46"/>
        <v>2.7803238619003971E-2</v>
      </c>
      <c r="L623">
        <f t="shared" si="47"/>
        <v>0.22170900692840648</v>
      </c>
      <c r="M623">
        <f t="shared" si="48"/>
        <v>0.38297872340425532</v>
      </c>
      <c r="N623">
        <f t="shared" si="49"/>
        <v>0.2108303229838886</v>
      </c>
    </row>
    <row r="624" spans="1:14">
      <c r="A624" t="s">
        <v>41</v>
      </c>
      <c r="B624" t="s">
        <v>143</v>
      </c>
      <c r="C624">
        <v>2022</v>
      </c>
      <c r="D624" t="s">
        <v>217</v>
      </c>
      <c r="E624">
        <v>1020</v>
      </c>
      <c r="F624">
        <v>1050</v>
      </c>
      <c r="G624">
        <v>1.98</v>
      </c>
      <c r="H624" s="4">
        <v>131190</v>
      </c>
      <c r="I624" s="8" t="str" cm="1">
        <f t="array" ref="I624">_xlfn.IFS(H624&lt;50000,"Under $50K", H624&lt;100000,"$50K–$100K",
     H624&lt;200000,"$100K–$200K", H624&lt;500000,"$200K–$500K",
     H624&gt;=500000,"$500K+")</f>
        <v>$100K–$200K</v>
      </c>
      <c r="J624" s="9" t="str">
        <f t="shared" si="45"/>
        <v>2020s</v>
      </c>
      <c r="K624">
        <f t="shared" si="46"/>
        <v>8.5446583155107447E-2</v>
      </c>
      <c r="L624">
        <f t="shared" si="47"/>
        <v>0.60623556581986138</v>
      </c>
      <c r="M624">
        <f t="shared" si="48"/>
        <v>0.96170212765957452</v>
      </c>
      <c r="N624">
        <f t="shared" si="49"/>
        <v>0.55112809221151438</v>
      </c>
    </row>
    <row r="625" spans="1:14">
      <c r="A625" t="s">
        <v>38</v>
      </c>
      <c r="B625" t="s">
        <v>218</v>
      </c>
      <c r="C625">
        <v>2021</v>
      </c>
      <c r="D625">
        <v>6.6</v>
      </c>
      <c r="E625">
        <v>563</v>
      </c>
      <c r="F625">
        <v>605</v>
      </c>
      <c r="G625">
        <v>4.3</v>
      </c>
      <c r="H625" s="4">
        <v>346300</v>
      </c>
      <c r="I625" s="8" t="str" cm="1">
        <f t="array" ref="I625">_xlfn.IFS(H625&lt;50000,"Under $50K", H625&lt;100000,"$50K–$100K",
     H625&lt;200000,"$100K–$200K", H625&lt;500000,"$200K–$500K",
     H625&gt;=500000,"$500K+")</f>
        <v>$200K–$500K</v>
      </c>
      <c r="J625" s="9" t="str">
        <f t="shared" si="45"/>
        <v>2020s</v>
      </c>
      <c r="K625">
        <f t="shared" si="46"/>
        <v>3.8904165393624603E-2</v>
      </c>
      <c r="L625">
        <f t="shared" si="47"/>
        <v>0.34930715935334872</v>
      </c>
      <c r="M625">
        <f t="shared" si="48"/>
        <v>0.46808510638297873</v>
      </c>
      <c r="N625">
        <f t="shared" si="49"/>
        <v>0.28543214370998404</v>
      </c>
    </row>
    <row r="626" spans="1:14">
      <c r="A626" t="s">
        <v>16</v>
      </c>
      <c r="B626" t="s">
        <v>219</v>
      </c>
      <c r="C626">
        <v>2021</v>
      </c>
      <c r="D626">
        <v>8</v>
      </c>
      <c r="E626">
        <v>1500</v>
      </c>
      <c r="F626">
        <v>1180</v>
      </c>
      <c r="G626">
        <v>2.2999999999999998</v>
      </c>
      <c r="H626" s="4">
        <v>3599000</v>
      </c>
      <c r="I626" s="8" t="str" cm="1">
        <f t="array" ref="I626">_xlfn.IFS(H626&lt;50000,"Under $50K", H626&lt;100000,"$50K–$100K",
     H626&lt;200000,"$100K–$200K", H626&lt;500000,"$200K–$500K",
     H626&gt;=500000,"$500K+")</f>
        <v>$500K+</v>
      </c>
      <c r="J626" s="9" t="str">
        <f t="shared" si="45"/>
        <v>2020s</v>
      </c>
      <c r="K626">
        <f t="shared" si="46"/>
        <v>0.13433139830940014</v>
      </c>
      <c r="L626">
        <f t="shared" si="47"/>
        <v>0.68129330254041576</v>
      </c>
      <c r="M626">
        <f t="shared" si="48"/>
        <v>0.89361702127659581</v>
      </c>
      <c r="N626">
        <f t="shared" si="49"/>
        <v>0.56974724070880389</v>
      </c>
    </row>
    <row r="627" spans="1:14">
      <c r="A627" t="s">
        <v>29</v>
      </c>
      <c r="B627" t="s">
        <v>208</v>
      </c>
      <c r="C627">
        <v>2019</v>
      </c>
      <c r="D627">
        <v>4</v>
      </c>
      <c r="E627">
        <v>789</v>
      </c>
      <c r="F627">
        <v>590</v>
      </c>
      <c r="G627">
        <v>2.7</v>
      </c>
      <c r="H627" s="4">
        <v>1050000</v>
      </c>
      <c r="I627" s="8" t="str" cm="1">
        <f t="array" ref="I627">_xlfn.IFS(H627&lt;50000,"Under $50K", H627&lt;100000,"$50K–$100K",
     H627&lt;200000,"$100K–$200K", H627&lt;500000,"$200K–$500K",
     H627&gt;=500000,"$500K+")</f>
        <v>$500K+</v>
      </c>
      <c r="J627" s="9" t="str">
        <f t="shared" si="45"/>
        <v>2010s</v>
      </c>
      <c r="K627">
        <f t="shared" si="46"/>
        <v>6.1920765862104085E-2</v>
      </c>
      <c r="L627">
        <f t="shared" si="47"/>
        <v>0.34064665127020788</v>
      </c>
      <c r="M627">
        <f t="shared" si="48"/>
        <v>0.80851063829787229</v>
      </c>
      <c r="N627">
        <f t="shared" si="49"/>
        <v>0.40369268514339479</v>
      </c>
    </row>
    <row r="628" spans="1:14">
      <c r="A628" t="s">
        <v>36</v>
      </c>
      <c r="B628" t="s">
        <v>133</v>
      </c>
      <c r="C628">
        <v>2021</v>
      </c>
      <c r="D628" t="s">
        <v>220</v>
      </c>
      <c r="E628">
        <v>690</v>
      </c>
      <c r="F628">
        <v>641</v>
      </c>
      <c r="G628">
        <v>3</v>
      </c>
      <c r="H628" s="4">
        <v>186350</v>
      </c>
      <c r="I628" s="8" t="str" cm="1">
        <f t="array" ref="I628">_xlfn.IFS(H628&lt;50000,"Under $50K", H628&lt;100000,"$50K–$100K",
     H628&lt;200000,"$100K–$200K", H628&lt;500000,"$200K–$500K",
     H628&gt;=500000,"$500K+")</f>
        <v>$100K–$200K</v>
      </c>
      <c r="J628" s="9" t="str">
        <f t="shared" si="45"/>
        <v>2020s</v>
      </c>
      <c r="K628">
        <f t="shared" si="46"/>
        <v>5.1838272736531216E-2</v>
      </c>
      <c r="L628">
        <f t="shared" si="47"/>
        <v>0.37009237875288686</v>
      </c>
      <c r="M628">
        <f t="shared" si="48"/>
        <v>0.74468085106382986</v>
      </c>
      <c r="N628">
        <f t="shared" si="49"/>
        <v>0.38887050085108266</v>
      </c>
    </row>
    <row r="629" spans="1:14">
      <c r="A629" t="s">
        <v>8</v>
      </c>
      <c r="B629" t="s">
        <v>123</v>
      </c>
      <c r="C629">
        <v>2021</v>
      </c>
      <c r="D629">
        <v>3.5</v>
      </c>
      <c r="E629">
        <v>573</v>
      </c>
      <c r="F629">
        <v>476</v>
      </c>
      <c r="G629">
        <v>2.7</v>
      </c>
      <c r="H629" s="4">
        <v>157500</v>
      </c>
      <c r="I629" s="8" t="str" cm="1">
        <f t="array" ref="I629">_xlfn.IFS(H629&lt;50000,"Under $50K", H629&lt;100000,"$50K–$100K",
     H629&lt;200000,"$100K–$200K", H629&lt;500000,"$200K–$500K",
     H629&gt;=500000,"$500K+")</f>
        <v>$100K–$200K</v>
      </c>
      <c r="J629" s="9" t="str">
        <f t="shared" si="45"/>
        <v>2020s</v>
      </c>
      <c r="K629">
        <f t="shared" si="46"/>
        <v>3.9922599042672369E-2</v>
      </c>
      <c r="L629">
        <f t="shared" si="47"/>
        <v>0.27482678983833719</v>
      </c>
      <c r="M629">
        <f t="shared" si="48"/>
        <v>0.80851063829787229</v>
      </c>
      <c r="N629">
        <f t="shared" si="49"/>
        <v>0.3744200090596273</v>
      </c>
    </row>
    <row r="630" spans="1:14">
      <c r="A630" t="s">
        <v>12</v>
      </c>
      <c r="B630" t="s">
        <v>69</v>
      </c>
      <c r="C630">
        <v>2021</v>
      </c>
      <c r="D630">
        <v>4</v>
      </c>
      <c r="E630">
        <v>503</v>
      </c>
      <c r="F630">
        <v>498</v>
      </c>
      <c r="G630">
        <v>3.7</v>
      </c>
      <c r="H630" s="4">
        <v>205600</v>
      </c>
      <c r="I630" s="8" t="str" cm="1">
        <f t="array" ref="I630">_xlfn.IFS(H630&lt;50000,"Under $50K", H630&lt;100000,"$50K–$100K",
     H630&lt;200000,"$100K–$200K", H630&lt;500000,"$200K–$500K",
     H630&gt;=500000,"$500K+")</f>
        <v>$200K–$500K</v>
      </c>
      <c r="J630" s="9" t="str">
        <f t="shared" si="45"/>
        <v>2020s</v>
      </c>
      <c r="K630">
        <f t="shared" si="46"/>
        <v>3.279356349933802E-2</v>
      </c>
      <c r="L630">
        <f t="shared" si="47"/>
        <v>0.28752886836027713</v>
      </c>
      <c r="M630">
        <f t="shared" si="48"/>
        <v>0.5957446808510638</v>
      </c>
      <c r="N630">
        <f t="shared" si="49"/>
        <v>0.30535570423689301</v>
      </c>
    </row>
    <row r="631" spans="1:14">
      <c r="A631" t="s">
        <v>13</v>
      </c>
      <c r="B631" t="s">
        <v>89</v>
      </c>
      <c r="C631">
        <v>2021</v>
      </c>
      <c r="D631">
        <v>4</v>
      </c>
      <c r="E631">
        <v>591</v>
      </c>
      <c r="F631">
        <v>590</v>
      </c>
      <c r="G631">
        <v>3.5</v>
      </c>
      <c r="H631" s="4">
        <v>114000</v>
      </c>
      <c r="I631" s="8" t="str" cm="1">
        <f t="array" ref="I631">_xlfn.IFS(H631&lt;50000,"Under $50K", H631&lt;100000,"$50K–$100K",
     H631&lt;200000,"$100K–$200K", H631&lt;500000,"$200K–$500K",
     H631&gt;=500000,"$500K+")</f>
        <v>$100K–$200K</v>
      </c>
      <c r="J631" s="9" t="str">
        <f t="shared" si="45"/>
        <v>2020s</v>
      </c>
      <c r="K631">
        <f t="shared" si="46"/>
        <v>4.1755779610958346E-2</v>
      </c>
      <c r="L631">
        <f t="shared" si="47"/>
        <v>0.34064665127020788</v>
      </c>
      <c r="M631">
        <f t="shared" si="48"/>
        <v>0.63829787234042556</v>
      </c>
      <c r="N631">
        <f t="shared" si="49"/>
        <v>0.34023343440719728</v>
      </c>
    </row>
    <row r="632" spans="1:14">
      <c r="A632" t="s">
        <v>14</v>
      </c>
      <c r="B632" t="s">
        <v>80</v>
      </c>
      <c r="C632">
        <v>2021</v>
      </c>
      <c r="D632">
        <v>6</v>
      </c>
      <c r="E632">
        <v>626</v>
      </c>
      <c r="F632">
        <v>664</v>
      </c>
      <c r="G632">
        <v>3.6</v>
      </c>
      <c r="H632" s="4">
        <v>201000</v>
      </c>
      <c r="I632" s="8" t="str" cm="1">
        <f t="array" ref="I632">_xlfn.IFS(H632&lt;50000,"Under $50K", H632&lt;100000,"$50K–$100K",
     H632&lt;200000,"$100K–$200K", H632&lt;500000,"$200K–$500K",
     H632&gt;=500000,"$500K+")</f>
        <v>$200K–$500K</v>
      </c>
      <c r="J632" s="9" t="str">
        <f t="shared" si="45"/>
        <v>2020s</v>
      </c>
      <c r="K632">
        <f t="shared" si="46"/>
        <v>4.5320297382625524E-2</v>
      </c>
      <c r="L632">
        <f t="shared" si="47"/>
        <v>0.38337182448036949</v>
      </c>
      <c r="M632">
        <f t="shared" si="48"/>
        <v>0.61702127659574468</v>
      </c>
      <c r="N632">
        <f t="shared" si="49"/>
        <v>0.34857113281957991</v>
      </c>
    </row>
    <row r="633" spans="1:14">
      <c r="A633" t="s">
        <v>16</v>
      </c>
      <c r="B633" t="s">
        <v>70</v>
      </c>
      <c r="C633">
        <v>2021</v>
      </c>
      <c r="D633">
        <v>8</v>
      </c>
      <c r="E633">
        <v>1500</v>
      </c>
      <c r="F633">
        <v>1180</v>
      </c>
      <c r="G633">
        <v>2.5</v>
      </c>
      <c r="H633" s="4">
        <v>3000000</v>
      </c>
      <c r="I633" s="8" t="str" cm="1">
        <f t="array" ref="I633">_xlfn.IFS(H633&lt;50000,"Under $50K", H633&lt;100000,"$50K–$100K",
     H633&lt;200000,"$100K–$200K", H633&lt;500000,"$200K–$500K",
     H633&gt;=500000,"$500K+")</f>
        <v>$500K+</v>
      </c>
      <c r="J633" s="9" t="str">
        <f t="shared" si="45"/>
        <v>2020s</v>
      </c>
      <c r="K633">
        <f t="shared" si="46"/>
        <v>0.13433139830940014</v>
      </c>
      <c r="L633">
        <f t="shared" si="47"/>
        <v>0.68129330254041576</v>
      </c>
      <c r="M633">
        <f t="shared" si="48"/>
        <v>0.85106382978723405</v>
      </c>
      <c r="N633">
        <f t="shared" si="49"/>
        <v>0.5555628435456833</v>
      </c>
    </row>
    <row r="634" spans="1:14">
      <c r="A634" t="s">
        <v>17</v>
      </c>
      <c r="B634" t="s">
        <v>91</v>
      </c>
      <c r="C634">
        <v>2022</v>
      </c>
      <c r="D634">
        <v>6.2</v>
      </c>
      <c r="E634">
        <v>650</v>
      </c>
      <c r="F634">
        <v>650</v>
      </c>
      <c r="G634">
        <v>3.5</v>
      </c>
      <c r="H634" s="4">
        <v>67000</v>
      </c>
      <c r="I634" s="8" t="str" cm="1">
        <f t="array" ref="I634">_xlfn.IFS(H634&lt;50000,"Under $50K", H634&lt;100000,"$50K–$100K",
     H634&lt;200000,"$100K–$200K", H634&lt;500000,"$200K–$500K",
     H634&gt;=500000,"$500K+")</f>
        <v>$50K–$100K</v>
      </c>
      <c r="J634" s="9" t="str">
        <f t="shared" si="45"/>
        <v>2020s</v>
      </c>
      <c r="K634">
        <f t="shared" si="46"/>
        <v>4.7764538140340158E-2</v>
      </c>
      <c r="L634">
        <f t="shared" si="47"/>
        <v>0.37528868360277134</v>
      </c>
      <c r="M634">
        <f t="shared" si="48"/>
        <v>0.63829787234042556</v>
      </c>
      <c r="N634">
        <f t="shared" si="49"/>
        <v>0.35378369802784571</v>
      </c>
    </row>
    <row r="635" spans="1:14">
      <c r="A635" t="s">
        <v>18</v>
      </c>
      <c r="B635" t="s">
        <v>175</v>
      </c>
      <c r="C635">
        <v>2021</v>
      </c>
      <c r="D635">
        <v>6.2</v>
      </c>
      <c r="E635">
        <v>717</v>
      </c>
      <c r="F635">
        <v>656</v>
      </c>
      <c r="G635">
        <v>3.5</v>
      </c>
      <c r="H635" s="4">
        <v>64000</v>
      </c>
      <c r="I635" s="8" t="str" cm="1">
        <f t="array" ref="I635">_xlfn.IFS(H635&lt;50000,"Under $50K", H635&lt;100000,"$50K–$100K",
     H635&lt;200000,"$100K–$200K", H635&lt;500000,"$200K–$500K",
     H635&gt;=500000,"$500K+")</f>
        <v>$50K–$100K</v>
      </c>
      <c r="J635" s="9" t="str">
        <f t="shared" si="45"/>
        <v>2020s</v>
      </c>
      <c r="K635">
        <f t="shared" si="46"/>
        <v>5.4588043588960182E-2</v>
      </c>
      <c r="L635">
        <f t="shared" si="47"/>
        <v>0.3787528868360277</v>
      </c>
      <c r="M635">
        <f t="shared" si="48"/>
        <v>0.63829787234042556</v>
      </c>
      <c r="N635">
        <f t="shared" si="49"/>
        <v>0.35721293425513778</v>
      </c>
    </row>
    <row r="636" spans="1:14">
      <c r="A636" t="s">
        <v>19</v>
      </c>
      <c r="B636" t="s">
        <v>157</v>
      </c>
      <c r="C636">
        <v>2021</v>
      </c>
      <c r="D636">
        <v>6.5</v>
      </c>
      <c r="E636">
        <v>789</v>
      </c>
      <c r="F636">
        <v>530</v>
      </c>
      <c r="G636">
        <v>2.8</v>
      </c>
      <c r="H636" s="4">
        <v>340000</v>
      </c>
      <c r="I636" s="8" t="str" cm="1">
        <f t="array" ref="I636">_xlfn.IFS(H636&lt;50000,"Under $50K", H636&lt;100000,"$50K–$100K",
     H636&lt;200000,"$100K–$200K", H636&lt;500000,"$200K–$500K",
     H636&gt;=500000,"$500K+")</f>
        <v>$200K–$500K</v>
      </c>
      <c r="J636" s="9" t="str">
        <f t="shared" si="45"/>
        <v>2020s</v>
      </c>
      <c r="K636">
        <f t="shared" si="46"/>
        <v>6.1920765862104085E-2</v>
      </c>
      <c r="L636">
        <f t="shared" si="47"/>
        <v>0.30600461893764436</v>
      </c>
      <c r="M636">
        <f t="shared" si="48"/>
        <v>0.78723404255319152</v>
      </c>
      <c r="N636">
        <f t="shared" si="49"/>
        <v>0.38505314245097999</v>
      </c>
    </row>
    <row r="637" spans="1:14">
      <c r="A637" t="s">
        <v>24</v>
      </c>
      <c r="B637" t="s">
        <v>87</v>
      </c>
      <c r="C637">
        <v>2021</v>
      </c>
      <c r="D637">
        <v>6.5</v>
      </c>
      <c r="E637">
        <v>770</v>
      </c>
      <c r="F637">
        <v>531</v>
      </c>
      <c r="G637">
        <v>2.8</v>
      </c>
      <c r="H637" s="4">
        <v>517770</v>
      </c>
      <c r="I637" s="8" t="str" cm="1">
        <f t="array" ref="I637">_xlfn.IFS(H637&lt;50000,"Under $50K", H637&lt;100000,"$50K–$100K",
     H637&lt;200000,"$100K–$200K", H637&lt;500000,"$200K–$500K",
     H637&gt;=500000,"$500K+")</f>
        <v>$500K+</v>
      </c>
      <c r="J637" s="9" t="str">
        <f t="shared" si="45"/>
        <v>2020s</v>
      </c>
      <c r="K637">
        <f t="shared" si="46"/>
        <v>5.998574192891333E-2</v>
      </c>
      <c r="L637">
        <f t="shared" si="47"/>
        <v>0.30658198614318705</v>
      </c>
      <c r="M637">
        <f t="shared" si="48"/>
        <v>0.78723404255319152</v>
      </c>
      <c r="N637">
        <f t="shared" si="49"/>
        <v>0.38460059020843063</v>
      </c>
    </row>
    <row r="638" spans="1:14">
      <c r="A638" t="s">
        <v>29</v>
      </c>
      <c r="B638" t="s">
        <v>193</v>
      </c>
      <c r="C638">
        <v>2021</v>
      </c>
      <c r="D638">
        <v>3.8</v>
      </c>
      <c r="E638">
        <v>592</v>
      </c>
      <c r="F638">
        <v>457</v>
      </c>
      <c r="G638">
        <v>2.8</v>
      </c>
      <c r="H638" s="4">
        <v>256500</v>
      </c>
      <c r="I638" s="8" t="str" cm="1">
        <f t="array" ref="I638">_xlfn.IFS(H638&lt;50000,"Under $50K", H638&lt;100000,"$50K–$100K",
     H638&lt;200000,"$100K–$200K", H638&lt;500000,"$200K–$500K",
     H638&gt;=500000,"$500K+")</f>
        <v>$200K–$500K</v>
      </c>
      <c r="J638" s="9" t="str">
        <f t="shared" si="45"/>
        <v>2020s</v>
      </c>
      <c r="K638">
        <f t="shared" si="46"/>
        <v>4.1857622975863124E-2</v>
      </c>
      <c r="L638">
        <f t="shared" si="47"/>
        <v>0.26385681293302543</v>
      </c>
      <c r="M638">
        <f t="shared" si="48"/>
        <v>0.78723404255319152</v>
      </c>
      <c r="N638">
        <f t="shared" si="49"/>
        <v>0.36431615948736001</v>
      </c>
    </row>
    <row r="639" spans="1:14">
      <c r="A639" t="s">
        <v>30</v>
      </c>
      <c r="B639" t="s">
        <v>221</v>
      </c>
      <c r="C639">
        <v>2021</v>
      </c>
      <c r="D639">
        <v>4</v>
      </c>
      <c r="E639">
        <v>720</v>
      </c>
      <c r="F639">
        <v>590</v>
      </c>
      <c r="G639">
        <v>3.1</v>
      </c>
      <c r="H639" s="4">
        <v>325000</v>
      </c>
      <c r="I639" s="8" t="str" cm="1">
        <f t="array" ref="I639">_xlfn.IFS(H639&lt;50000,"Under $50K", H639&lt;100000,"$50K–$100K",
     H639&lt;200000,"$100K–$200K", H639&lt;500000,"$200K–$500K",
     H639&gt;=500000,"$500K+")</f>
        <v>$200K–$500K</v>
      </c>
      <c r="J639" s="9" t="str">
        <f t="shared" si="45"/>
        <v>2020s</v>
      </c>
      <c r="K639">
        <f t="shared" si="46"/>
        <v>5.4893573683674507E-2</v>
      </c>
      <c r="L639">
        <f t="shared" si="47"/>
        <v>0.34064665127020788</v>
      </c>
      <c r="M639">
        <f t="shared" si="48"/>
        <v>0.72340425531914887</v>
      </c>
      <c r="N639">
        <f t="shared" si="49"/>
        <v>0.37298149342434378</v>
      </c>
    </row>
    <row r="640" spans="1:14">
      <c r="A640" t="s">
        <v>32</v>
      </c>
      <c r="B640" t="s">
        <v>222</v>
      </c>
      <c r="C640">
        <v>2023</v>
      </c>
      <c r="D640">
        <v>3</v>
      </c>
      <c r="E640">
        <v>400</v>
      </c>
      <c r="F640">
        <v>350</v>
      </c>
      <c r="G640">
        <v>4</v>
      </c>
      <c r="H640" s="4">
        <v>40000</v>
      </c>
      <c r="I640" s="8" t="str" cm="1">
        <f t="array" ref="I640">_xlfn.IFS(H640&lt;50000,"Under $50K", H640&lt;100000,"$50K–$100K",
     H640&lt;200000,"$100K–$200K", H640&lt;500000,"$200K–$500K",
     H640&gt;=500000,"$500K+")</f>
        <v>Under $50K</v>
      </c>
      <c r="J640" s="9" t="str">
        <f t="shared" si="45"/>
        <v>2020s</v>
      </c>
      <c r="K640">
        <f t="shared" si="46"/>
        <v>2.2303696914146045E-2</v>
      </c>
      <c r="L640">
        <f t="shared" si="47"/>
        <v>0.20207852193995382</v>
      </c>
      <c r="M640">
        <f t="shared" si="48"/>
        <v>0.53191489361702127</v>
      </c>
      <c r="N640">
        <f t="shared" si="49"/>
        <v>0.25209903749037371</v>
      </c>
    </row>
    <row r="641" spans="1:14">
      <c r="A641" t="s">
        <v>36</v>
      </c>
      <c r="B641" t="s">
        <v>86</v>
      </c>
      <c r="C641">
        <v>2021</v>
      </c>
      <c r="D641">
        <v>4</v>
      </c>
      <c r="E641">
        <v>414</v>
      </c>
      <c r="F641">
        <v>309</v>
      </c>
      <c r="G641">
        <v>4.2</v>
      </c>
      <c r="H641" s="4">
        <v>101000</v>
      </c>
      <c r="I641" s="8" t="str" cm="1">
        <f t="array" ref="I641">_xlfn.IFS(H641&lt;50000,"Under $50K", H641&lt;100000,"$50K–$100K",
     H641&lt;200000,"$100K–$200K", H641&lt;500000,"$200K–$500K",
     H641&gt;=500000,"$500K+")</f>
        <v>$100K–$200K</v>
      </c>
      <c r="J641" s="9" t="str">
        <f t="shared" si="45"/>
        <v>2020s</v>
      </c>
      <c r="K641">
        <f t="shared" si="46"/>
        <v>2.3729504022812913E-2</v>
      </c>
      <c r="L641">
        <f t="shared" si="47"/>
        <v>0.17840646651270209</v>
      </c>
      <c r="M641">
        <f t="shared" si="48"/>
        <v>0.4893617021276595</v>
      </c>
      <c r="N641">
        <f t="shared" si="49"/>
        <v>0.23049922422105817</v>
      </c>
    </row>
    <row r="642" spans="1:14">
      <c r="A642" t="s">
        <v>37</v>
      </c>
      <c r="B642" t="s">
        <v>84</v>
      </c>
      <c r="C642">
        <v>2021</v>
      </c>
      <c r="D642" t="s">
        <v>85</v>
      </c>
      <c r="E642">
        <v>1914</v>
      </c>
      <c r="F642">
        <v>1696</v>
      </c>
      <c r="G642">
        <v>1.9</v>
      </c>
      <c r="H642" s="4">
        <v>2400000</v>
      </c>
      <c r="I642" s="8" t="str" cm="1">
        <f t="array" ref="I642">_xlfn.IFS(H642&lt;50000,"Under $50K", H642&lt;100000,"$50K–$100K",
     H642&lt;200000,"$100K–$200K", H642&lt;500000,"$200K–$500K",
     H642&gt;=500000,"$500K+")</f>
        <v>$500K+</v>
      </c>
      <c r="J642" s="9" t="str">
        <f t="shared" si="45"/>
        <v>2020s</v>
      </c>
      <c r="K642">
        <f t="shared" si="46"/>
        <v>0.1764945513799776</v>
      </c>
      <c r="L642">
        <f t="shared" si="47"/>
        <v>0.97921478060046185</v>
      </c>
      <c r="M642">
        <f t="shared" si="48"/>
        <v>0.97872340425531923</v>
      </c>
      <c r="N642">
        <f t="shared" si="49"/>
        <v>0.71147757874525297</v>
      </c>
    </row>
    <row r="643" spans="1:14">
      <c r="A643" t="s">
        <v>38</v>
      </c>
      <c r="B643" t="s">
        <v>126</v>
      </c>
      <c r="C643">
        <v>2021</v>
      </c>
      <c r="D643">
        <v>6.8</v>
      </c>
      <c r="E643">
        <v>624</v>
      </c>
      <c r="F643">
        <v>605</v>
      </c>
      <c r="G643">
        <v>4.4000000000000004</v>
      </c>
      <c r="H643" s="4">
        <v>330000</v>
      </c>
      <c r="I643" s="8" t="str" cm="1">
        <f t="array" ref="I643">_xlfn.IFS(H643&lt;50000,"Under $50K", H643&lt;100000,"$50K–$100K",
     H643&lt;200000,"$100K–$200K", H643&lt;500000,"$200K–$500K",
     H643&gt;=500000,"$500K+")</f>
        <v>$200K–$500K</v>
      </c>
      <c r="J643" s="9" t="str">
        <f t="shared" ref="J643:J706" si="50">_xlfn.CONCAT(INT(C643/10)*10,"s")</f>
        <v>2020s</v>
      </c>
      <c r="K643">
        <f t="shared" ref="K643:K706" si="51">(E643-MIN($E$2:$E$1008))/(MAX($E$2:$E$1008)-MIN($E$2:$E$1008))</f>
        <v>4.5116610652815969E-2</v>
      </c>
      <c r="L643">
        <f t="shared" ref="L643:L706" si="52">(F643-MIN($F$2:$F$501))/(MAX($F$2:$F$501)-MIN($F$2:$F$501))</f>
        <v>0.34930715935334872</v>
      </c>
      <c r="M643">
        <f t="shared" ref="M643:M706" si="53">1-((G643-MIN($G$2:$G$501))/(MAX($G$2:$G$501)-MIN($G$2:$G$501)))</f>
        <v>0.44680851063829774</v>
      </c>
      <c r="N643">
        <f t="shared" ref="N643:N706" si="54">AVERAGE(K643,L643,M643)</f>
        <v>0.28041076021482081</v>
      </c>
    </row>
    <row r="644" spans="1:14">
      <c r="A644" t="s">
        <v>41</v>
      </c>
      <c r="B644" t="s">
        <v>143</v>
      </c>
      <c r="C644">
        <v>2021</v>
      </c>
      <c r="D644" t="s">
        <v>85</v>
      </c>
      <c r="E644">
        <v>1020</v>
      </c>
      <c r="F644" t="s">
        <v>141</v>
      </c>
      <c r="G644">
        <v>1.9</v>
      </c>
      <c r="H644" s="4">
        <v>139990</v>
      </c>
      <c r="I644" s="8" t="str" cm="1">
        <f t="array" ref="I644">_xlfn.IFS(H644&lt;50000,"Under $50K", H644&lt;100000,"$50K–$100K",
     H644&lt;200000,"$100K–$200K", H644&lt;500000,"$200K–$500K",
     H644&gt;=500000,"$500K+")</f>
        <v>$100K–$200K</v>
      </c>
      <c r="J644" s="9" t="str">
        <f t="shared" si="50"/>
        <v>2020s</v>
      </c>
      <c r="K644">
        <f t="shared" si="51"/>
        <v>8.5446583155107447E-2</v>
      </c>
      <c r="L644" t="e">
        <f t="shared" si="52"/>
        <v>#VALUE!</v>
      </c>
      <c r="M644">
        <f t="shared" si="53"/>
        <v>0.97872340425531923</v>
      </c>
      <c r="N644" t="e">
        <f t="shared" si="54"/>
        <v>#VALUE!</v>
      </c>
    </row>
    <row r="645" spans="1:14">
      <c r="A645" t="s">
        <v>42</v>
      </c>
      <c r="B645" t="s">
        <v>129</v>
      </c>
      <c r="C645">
        <v>2021</v>
      </c>
      <c r="D645">
        <v>3</v>
      </c>
      <c r="E645">
        <v>382</v>
      </c>
      <c r="F645">
        <v>368</v>
      </c>
      <c r="G645">
        <v>3.9</v>
      </c>
      <c r="H645" s="4">
        <v>43000</v>
      </c>
      <c r="I645" s="8" t="str" cm="1">
        <f t="array" ref="I645">_xlfn.IFS(H645&lt;50000,"Under $50K", H645&lt;100000,"$50K–$100K",
     H645&lt;200000,"$100K–$200K", H645&lt;500000,"$200K–$500K",
     H645&gt;=500000,"$500K+")</f>
        <v>Under $50K</v>
      </c>
      <c r="J645" s="9" t="str">
        <f t="shared" si="50"/>
        <v>2020s</v>
      </c>
      <c r="K645">
        <f t="shared" si="51"/>
        <v>2.0470516345860067E-2</v>
      </c>
      <c r="L645">
        <f t="shared" si="52"/>
        <v>0.21247113163972287</v>
      </c>
      <c r="M645">
        <f t="shared" si="53"/>
        <v>0.55319148936170226</v>
      </c>
      <c r="N645">
        <f t="shared" si="54"/>
        <v>0.26204437911576173</v>
      </c>
    </row>
    <row r="646" spans="1:14">
      <c r="A646" t="s">
        <v>36</v>
      </c>
      <c r="B646" t="s">
        <v>198</v>
      </c>
      <c r="C646">
        <v>2021</v>
      </c>
      <c r="D646">
        <v>2</v>
      </c>
      <c r="E646">
        <v>300</v>
      </c>
      <c r="F646">
        <v>280</v>
      </c>
      <c r="G646">
        <v>4.9000000000000004</v>
      </c>
      <c r="H646" s="4">
        <v>62000</v>
      </c>
      <c r="I646" s="8" t="str" cm="1">
        <f t="array" ref="I646">_xlfn.IFS(H646&lt;50000,"Under $50K", H646&lt;100000,"$50K–$100K",
     H646&lt;200000,"$100K–$200K", H646&lt;500000,"$200K–$500K",
     H646&gt;=500000,"$500K+")</f>
        <v>$50K–$100K</v>
      </c>
      <c r="J646" s="9" t="str">
        <f t="shared" si="50"/>
        <v>2020s</v>
      </c>
      <c r="K646">
        <f t="shared" si="51"/>
        <v>1.2119360423668398E-2</v>
      </c>
      <c r="L646">
        <f t="shared" si="52"/>
        <v>0.16166281755196305</v>
      </c>
      <c r="M646">
        <f t="shared" si="53"/>
        <v>0.34042553191489355</v>
      </c>
      <c r="N646">
        <f t="shared" si="54"/>
        <v>0.17140256996350833</v>
      </c>
    </row>
    <row r="647" spans="1:14">
      <c r="A647" t="s">
        <v>36</v>
      </c>
      <c r="B647" t="s">
        <v>198</v>
      </c>
      <c r="C647">
        <v>2022</v>
      </c>
      <c r="D647">
        <v>2</v>
      </c>
      <c r="E647">
        <v>300</v>
      </c>
      <c r="F647">
        <v>280</v>
      </c>
      <c r="G647">
        <v>4.9000000000000004</v>
      </c>
      <c r="H647" s="4">
        <v>62000</v>
      </c>
      <c r="I647" s="8" t="str" cm="1">
        <f t="array" ref="I647">_xlfn.IFS(H647&lt;50000,"Under $50K", H647&lt;100000,"$50K–$100K",
     H647&lt;200000,"$100K–$200K", H647&lt;500000,"$200K–$500K",
     H647&gt;=500000,"$500K+")</f>
        <v>$50K–$100K</v>
      </c>
      <c r="J647" s="9" t="str">
        <f t="shared" si="50"/>
        <v>2020s</v>
      </c>
      <c r="K647">
        <f t="shared" si="51"/>
        <v>1.2119360423668398E-2</v>
      </c>
      <c r="L647">
        <f t="shared" si="52"/>
        <v>0.16166281755196305</v>
      </c>
      <c r="M647">
        <f t="shared" si="53"/>
        <v>0.34042553191489355</v>
      </c>
      <c r="N647">
        <f t="shared" si="54"/>
        <v>0.17140256996350833</v>
      </c>
    </row>
    <row r="648" spans="1:14">
      <c r="A648" t="s">
        <v>24</v>
      </c>
      <c r="B648" t="s">
        <v>153</v>
      </c>
      <c r="C648">
        <v>2021</v>
      </c>
      <c r="D648">
        <v>6.5</v>
      </c>
      <c r="E648">
        <v>730</v>
      </c>
      <c r="F648">
        <v>509</v>
      </c>
      <c r="G648">
        <v>2.9</v>
      </c>
      <c r="H648" s="4">
        <v>417826</v>
      </c>
      <c r="I648" s="8" t="str" cm="1">
        <f t="array" ref="I648">_xlfn.IFS(H648&lt;50000,"Under $50K", H648&lt;100000,"$50K–$100K",
     H648&lt;200000,"$100K–$200K", H648&lt;500000,"$200K–$500K",
     H648&gt;=500000,"$500K+")</f>
        <v>$200K–$500K</v>
      </c>
      <c r="J648" s="9" t="str">
        <f t="shared" si="50"/>
        <v>2020s</v>
      </c>
      <c r="K648">
        <f t="shared" si="51"/>
        <v>5.5912007332722273E-2</v>
      </c>
      <c r="L648">
        <f t="shared" si="52"/>
        <v>0.29387990762124711</v>
      </c>
      <c r="M648">
        <f t="shared" si="53"/>
        <v>0.76595744680851063</v>
      </c>
      <c r="N648">
        <f t="shared" si="54"/>
        <v>0.37191645392082667</v>
      </c>
    </row>
    <row r="649" spans="1:14">
      <c r="A649" t="s">
        <v>19</v>
      </c>
      <c r="B649" t="s">
        <v>88</v>
      </c>
      <c r="C649">
        <v>2022</v>
      </c>
      <c r="D649">
        <v>4</v>
      </c>
      <c r="E649">
        <v>986</v>
      </c>
      <c r="F649">
        <v>590</v>
      </c>
      <c r="G649">
        <v>2.5</v>
      </c>
      <c r="H649" s="4">
        <v>625000</v>
      </c>
      <c r="I649" s="8" t="str" cm="1">
        <f t="array" ref="I649">_xlfn.IFS(H649&lt;50000,"Under $50K", H649&lt;100000,"$50K–$100K",
     H649&lt;200000,"$100K–$200K", H649&lt;500000,"$200K–$500K",
     H649&gt;=500000,"$500K+")</f>
        <v>$500K+</v>
      </c>
      <c r="J649" s="9" t="str">
        <f t="shared" si="50"/>
        <v>2020s</v>
      </c>
      <c r="K649">
        <f t="shared" si="51"/>
        <v>8.1983908748345047E-2</v>
      </c>
      <c r="L649">
        <f t="shared" si="52"/>
        <v>0.34064665127020788</v>
      </c>
      <c r="M649">
        <f t="shared" si="53"/>
        <v>0.85106382978723405</v>
      </c>
      <c r="N649">
        <f t="shared" si="54"/>
        <v>0.42456479660192903</v>
      </c>
    </row>
    <row r="650" spans="1:14">
      <c r="A650" t="s">
        <v>13</v>
      </c>
      <c r="B650" t="s">
        <v>152</v>
      </c>
      <c r="C650">
        <v>2022</v>
      </c>
      <c r="D650">
        <v>4</v>
      </c>
      <c r="E650">
        <v>591</v>
      </c>
      <c r="F650">
        <v>590</v>
      </c>
      <c r="G650">
        <v>3.5</v>
      </c>
      <c r="H650" s="4">
        <v>114000</v>
      </c>
      <c r="I650" s="8" t="str" cm="1">
        <f t="array" ref="I650">_xlfn.IFS(H650&lt;50000,"Under $50K", H650&lt;100000,"$50K–$100K",
     H650&lt;200000,"$100K–$200K", H650&lt;500000,"$200K–$500K",
     H650&gt;=500000,"$500K+")</f>
        <v>$100K–$200K</v>
      </c>
      <c r="J650" s="9" t="str">
        <f t="shared" si="50"/>
        <v>2020s</v>
      </c>
      <c r="K650">
        <f t="shared" si="51"/>
        <v>4.1755779610958346E-2</v>
      </c>
      <c r="L650">
        <f t="shared" si="52"/>
        <v>0.34064665127020788</v>
      </c>
      <c r="M650">
        <f t="shared" si="53"/>
        <v>0.63829787234042556</v>
      </c>
      <c r="N650">
        <f t="shared" si="54"/>
        <v>0.34023343440719728</v>
      </c>
    </row>
    <row r="651" spans="1:14">
      <c r="A651" t="s">
        <v>29</v>
      </c>
      <c r="B651" t="s">
        <v>81</v>
      </c>
      <c r="C651">
        <v>2021</v>
      </c>
      <c r="D651">
        <v>3</v>
      </c>
      <c r="E651">
        <v>671</v>
      </c>
      <c r="F651">
        <v>531</v>
      </c>
      <c r="G651">
        <v>3</v>
      </c>
      <c r="H651" s="4">
        <v>225000</v>
      </c>
      <c r="I651" s="8" t="str" cm="1">
        <f t="array" ref="I651">_xlfn.IFS(H651&lt;50000,"Under $50K", H651&lt;100000,"$50K–$100K",
     H651&lt;200000,"$100K–$200K", H651&lt;500000,"$200K–$500K",
     H651&gt;=500000,"$500K+")</f>
        <v>$200K–$500K</v>
      </c>
      <c r="J651" s="9" t="str">
        <f t="shared" si="50"/>
        <v>2020s</v>
      </c>
      <c r="K651">
        <f t="shared" si="51"/>
        <v>4.9903248803340461E-2</v>
      </c>
      <c r="L651">
        <f t="shared" si="52"/>
        <v>0.30658198614318705</v>
      </c>
      <c r="M651">
        <f t="shared" si="53"/>
        <v>0.74468085106382986</v>
      </c>
      <c r="N651">
        <f t="shared" si="54"/>
        <v>0.36705536200345246</v>
      </c>
    </row>
    <row r="652" spans="1:14">
      <c r="A652" t="s">
        <v>15</v>
      </c>
      <c r="B652" t="s">
        <v>113</v>
      </c>
      <c r="C652">
        <v>2022</v>
      </c>
      <c r="D652">
        <v>3</v>
      </c>
      <c r="E652">
        <v>405</v>
      </c>
      <c r="F652">
        <v>406</v>
      </c>
      <c r="G652">
        <v>4.0999999999999996</v>
      </c>
      <c r="H652" s="4">
        <v>58900</v>
      </c>
      <c r="I652" s="8" t="str" cm="1">
        <f t="array" ref="I652">_xlfn.IFS(H652&lt;50000,"Under $50K", H652&lt;100000,"$50K–$100K",
     H652&lt;200000,"$100K–$200K", H652&lt;500000,"$200K–$500K",
     H652&gt;=500000,"$500K+")</f>
        <v>$50K–$100K</v>
      </c>
      <c r="J652" s="9" t="str">
        <f t="shared" si="50"/>
        <v>2020s</v>
      </c>
      <c r="K652">
        <f t="shared" si="51"/>
        <v>2.2812913738669924E-2</v>
      </c>
      <c r="L652">
        <f t="shared" si="52"/>
        <v>0.23441108545034642</v>
      </c>
      <c r="M652">
        <f t="shared" si="53"/>
        <v>0.5106382978723405</v>
      </c>
      <c r="N652">
        <f t="shared" si="54"/>
        <v>0.2559540990204523</v>
      </c>
    </row>
    <row r="653" spans="1:14">
      <c r="A653" t="s">
        <v>31</v>
      </c>
      <c r="B653" t="s">
        <v>82</v>
      </c>
      <c r="C653">
        <v>2015</v>
      </c>
      <c r="D653">
        <v>6.2</v>
      </c>
      <c r="E653">
        <v>583</v>
      </c>
      <c r="F653">
        <v>479</v>
      </c>
      <c r="G653">
        <v>3.6</v>
      </c>
      <c r="H653" s="4">
        <v>221580</v>
      </c>
      <c r="I653" s="8" t="str" cm="1">
        <f t="array" ref="I653">_xlfn.IFS(H653&lt;50000,"Under $50K", H653&lt;100000,"$50K–$100K",
     H653&lt;200000,"$100K–$200K", H653&lt;500000,"$200K–$500K",
     H653&gt;=500000,"$500K+")</f>
        <v>$200K–$500K</v>
      </c>
      <c r="J653" s="9" t="str">
        <f t="shared" si="50"/>
        <v>2010s</v>
      </c>
      <c r="K653">
        <f t="shared" si="51"/>
        <v>4.0941032691720135E-2</v>
      </c>
      <c r="L653">
        <f t="shared" si="52"/>
        <v>0.27655889145496537</v>
      </c>
      <c r="M653">
        <f t="shared" si="53"/>
        <v>0.61702127659574468</v>
      </c>
      <c r="N653">
        <f t="shared" si="54"/>
        <v>0.31150706691414337</v>
      </c>
    </row>
    <row r="654" spans="1:14">
      <c r="A654" t="s">
        <v>17</v>
      </c>
      <c r="B654" t="s">
        <v>91</v>
      </c>
      <c r="C654">
        <v>2021</v>
      </c>
      <c r="D654">
        <v>6.2</v>
      </c>
      <c r="E654">
        <v>650</v>
      </c>
      <c r="F654">
        <v>650</v>
      </c>
      <c r="G654">
        <v>3.5</v>
      </c>
      <c r="H654" s="4">
        <v>64695</v>
      </c>
      <c r="I654" s="8" t="str" cm="1">
        <f t="array" ref="I654">_xlfn.IFS(H654&lt;50000,"Under $50K", H654&lt;100000,"$50K–$100K",
     H654&lt;200000,"$100K–$200K", H654&lt;500000,"$200K–$500K",
     H654&gt;=500000,"$500K+")</f>
        <v>$50K–$100K</v>
      </c>
      <c r="J654" s="9" t="str">
        <f t="shared" si="50"/>
        <v>2020s</v>
      </c>
      <c r="K654">
        <f t="shared" si="51"/>
        <v>4.7764538140340158E-2</v>
      </c>
      <c r="L654">
        <f t="shared" si="52"/>
        <v>0.37528868360277134</v>
      </c>
      <c r="M654">
        <f t="shared" si="53"/>
        <v>0.63829787234042556</v>
      </c>
      <c r="N654">
        <f t="shared" si="54"/>
        <v>0.35378369802784571</v>
      </c>
    </row>
    <row r="655" spans="1:14">
      <c r="A655" t="s">
        <v>20</v>
      </c>
      <c r="B655" t="s">
        <v>92</v>
      </c>
      <c r="C655">
        <v>2022</v>
      </c>
      <c r="D655">
        <v>3.5</v>
      </c>
      <c r="E655">
        <v>647</v>
      </c>
      <c r="F655">
        <v>550</v>
      </c>
      <c r="G655">
        <v>3</v>
      </c>
      <c r="H655" s="4">
        <v>500000</v>
      </c>
      <c r="I655" s="8" t="str" cm="1">
        <f t="array" ref="I655">_xlfn.IFS(H655&lt;50000,"Under $50K", H655&lt;100000,"$50K–$100K",
     H655&lt;200000,"$100K–$200K", H655&lt;500000,"$200K–$500K",
     H655&gt;=500000,"$500K+")</f>
        <v>$500K+</v>
      </c>
      <c r="J655" s="9" t="str">
        <f t="shared" si="50"/>
        <v>2020s</v>
      </c>
      <c r="K655">
        <f t="shared" si="51"/>
        <v>4.7459008045625826E-2</v>
      </c>
      <c r="L655">
        <f t="shared" si="52"/>
        <v>0.31755196304849886</v>
      </c>
      <c r="M655">
        <f t="shared" si="53"/>
        <v>0.74468085106382986</v>
      </c>
      <c r="N655">
        <f t="shared" si="54"/>
        <v>0.36989727405265155</v>
      </c>
    </row>
    <row r="656" spans="1:14">
      <c r="A656" t="s">
        <v>32</v>
      </c>
      <c r="B656" t="s">
        <v>93</v>
      </c>
      <c r="C656">
        <v>2021</v>
      </c>
      <c r="D656">
        <v>3.7</v>
      </c>
      <c r="E656">
        <v>350</v>
      </c>
      <c r="F656">
        <v>276</v>
      </c>
      <c r="G656">
        <v>4.8</v>
      </c>
      <c r="H656" s="4">
        <v>45000</v>
      </c>
      <c r="I656" s="8" t="str" cm="1">
        <f t="array" ref="I656">_xlfn.IFS(H656&lt;50000,"Under $50K", H656&lt;100000,"$50K–$100K",
     H656&lt;200000,"$100K–$200K", H656&lt;500000,"$200K–$500K",
     H656&gt;=500000,"$500K+")</f>
        <v>Under $50K</v>
      </c>
      <c r="J656" s="9" t="str">
        <f t="shared" si="50"/>
        <v>2020s</v>
      </c>
      <c r="K656">
        <f t="shared" si="51"/>
        <v>1.7211528668907222E-2</v>
      </c>
      <c r="L656">
        <f t="shared" si="52"/>
        <v>0.15935334872979215</v>
      </c>
      <c r="M656">
        <f t="shared" si="53"/>
        <v>0.36170212765957455</v>
      </c>
      <c r="N656">
        <f t="shared" si="54"/>
        <v>0.17942233501942462</v>
      </c>
    </row>
    <row r="657" spans="1:14">
      <c r="A657" t="s">
        <v>18</v>
      </c>
      <c r="B657" t="s">
        <v>189</v>
      </c>
      <c r="C657">
        <v>2021</v>
      </c>
      <c r="D657">
        <v>6.2</v>
      </c>
      <c r="E657">
        <v>707</v>
      </c>
      <c r="F657">
        <v>650</v>
      </c>
      <c r="G657">
        <v>3.6</v>
      </c>
      <c r="H657" s="4">
        <v>69995</v>
      </c>
      <c r="I657" s="8" t="str" cm="1">
        <f t="array" ref="I657">_xlfn.IFS(H657&lt;50000,"Under $50K", H657&lt;100000,"$50K–$100K",
     H657&lt;200000,"$100K–$200K", H657&lt;500000,"$200K–$500K",
     H657&gt;=500000,"$500K+")</f>
        <v>$50K–$100K</v>
      </c>
      <c r="J657" s="9" t="str">
        <f t="shared" si="50"/>
        <v>2020s</v>
      </c>
      <c r="K657">
        <f t="shared" si="51"/>
        <v>5.3569609939912416E-2</v>
      </c>
      <c r="L657">
        <f t="shared" si="52"/>
        <v>0.37528868360277134</v>
      </c>
      <c r="M657">
        <f t="shared" si="53"/>
        <v>0.61702127659574468</v>
      </c>
      <c r="N657">
        <f t="shared" si="54"/>
        <v>0.34862652337947614</v>
      </c>
    </row>
    <row r="658" spans="1:14">
      <c r="A658" t="s">
        <v>12</v>
      </c>
      <c r="B658" t="s">
        <v>132</v>
      </c>
      <c r="C658">
        <v>2021</v>
      </c>
      <c r="D658">
        <v>5.2</v>
      </c>
      <c r="E658">
        <v>715</v>
      </c>
      <c r="F658">
        <v>663</v>
      </c>
      <c r="G658">
        <v>3.2</v>
      </c>
      <c r="H658" s="4">
        <v>305000</v>
      </c>
      <c r="I658" s="8" t="str" cm="1">
        <f t="array" ref="I658">_xlfn.IFS(H658&lt;50000,"Under $50K", H658&lt;100000,"$50K–$100K",
     H658&lt;200000,"$100K–$200K", H658&lt;500000,"$200K–$500K",
     H658&gt;=500000,"$500K+")</f>
        <v>$200K–$500K</v>
      </c>
      <c r="J658" s="9" t="str">
        <f t="shared" si="50"/>
        <v>2020s</v>
      </c>
      <c r="K658">
        <f t="shared" si="51"/>
        <v>5.4384356859150627E-2</v>
      </c>
      <c r="L658">
        <f t="shared" si="52"/>
        <v>0.3827944572748268</v>
      </c>
      <c r="M658">
        <f t="shared" si="53"/>
        <v>0.7021276595744681</v>
      </c>
      <c r="N658">
        <f t="shared" si="54"/>
        <v>0.37976882456948186</v>
      </c>
    </row>
    <row r="659" spans="1:14">
      <c r="A659" t="s">
        <v>9</v>
      </c>
      <c r="B659" t="s">
        <v>78</v>
      </c>
      <c r="C659">
        <v>2021</v>
      </c>
      <c r="D659">
        <v>2.9</v>
      </c>
      <c r="E659">
        <v>505</v>
      </c>
      <c r="F659">
        <v>443</v>
      </c>
      <c r="G659">
        <v>3.8</v>
      </c>
      <c r="H659" s="4">
        <v>75000</v>
      </c>
      <c r="I659" s="8" t="str" cm="1">
        <f t="array" ref="I659">_xlfn.IFS(H659&lt;50000,"Under $50K", H659&lt;100000,"$50K–$100K",
     H659&lt;200000,"$100K–$200K", H659&lt;500000,"$200K–$500K",
     H659&gt;=500000,"$500K+")</f>
        <v>$50K–$100K</v>
      </c>
      <c r="J659" s="9" t="str">
        <f t="shared" si="50"/>
        <v>2020s</v>
      </c>
      <c r="K659">
        <f t="shared" si="51"/>
        <v>3.2997250229147568E-2</v>
      </c>
      <c r="L659">
        <f t="shared" si="52"/>
        <v>0.25577367205542723</v>
      </c>
      <c r="M659">
        <f t="shared" si="53"/>
        <v>0.57446808510638303</v>
      </c>
      <c r="N659">
        <f t="shared" si="54"/>
        <v>0.28774633579698594</v>
      </c>
    </row>
    <row r="660" spans="1:14">
      <c r="A660" t="s">
        <v>13</v>
      </c>
      <c r="B660" t="s">
        <v>118</v>
      </c>
      <c r="C660">
        <v>2021</v>
      </c>
      <c r="D660">
        <v>2.5</v>
      </c>
      <c r="E660">
        <v>394</v>
      </c>
      <c r="F660">
        <v>354</v>
      </c>
      <c r="G660">
        <v>3.6</v>
      </c>
      <c r="H660" s="4">
        <v>68000</v>
      </c>
      <c r="I660" s="8" t="str" cm="1">
        <f t="array" ref="I660">_xlfn.IFS(H660&lt;50000,"Under $50K", H660&lt;100000,"$50K–$100K",
     H660&lt;200000,"$100K–$200K", H660&lt;500000,"$200K–$500K",
     H660&gt;=500000,"$500K+")</f>
        <v>$50K–$100K</v>
      </c>
      <c r="J660" s="9" t="str">
        <f t="shared" si="50"/>
        <v>2020s</v>
      </c>
      <c r="K660">
        <f t="shared" si="51"/>
        <v>2.1692636724717385E-2</v>
      </c>
      <c r="L660">
        <f t="shared" si="52"/>
        <v>0.20438799076212472</v>
      </c>
      <c r="M660">
        <f t="shared" si="53"/>
        <v>0.61702127659574468</v>
      </c>
      <c r="N660">
        <f t="shared" si="54"/>
        <v>0.28103396802752895</v>
      </c>
    </row>
    <row r="661" spans="1:14">
      <c r="A661" t="s">
        <v>14</v>
      </c>
      <c r="B661" t="s">
        <v>80</v>
      </c>
      <c r="C661">
        <v>2021</v>
      </c>
      <c r="D661">
        <v>6</v>
      </c>
      <c r="E661">
        <v>626</v>
      </c>
      <c r="F661">
        <v>664</v>
      </c>
      <c r="G661">
        <v>3.6</v>
      </c>
      <c r="H661" s="4">
        <v>203825</v>
      </c>
      <c r="I661" s="8" t="str" cm="1">
        <f t="array" ref="I661">_xlfn.IFS(H661&lt;50000,"Under $50K", H661&lt;100000,"$50K–$100K",
     H661&lt;200000,"$100K–$200K", H661&lt;500000,"$200K–$500K",
     H661&gt;=500000,"$500K+")</f>
        <v>$200K–$500K</v>
      </c>
      <c r="J661" s="9" t="str">
        <f t="shared" si="50"/>
        <v>2020s</v>
      </c>
      <c r="K661">
        <f t="shared" si="51"/>
        <v>4.5320297382625524E-2</v>
      </c>
      <c r="L661">
        <f t="shared" si="52"/>
        <v>0.38337182448036949</v>
      </c>
      <c r="M661">
        <f t="shared" si="53"/>
        <v>0.61702127659574468</v>
      </c>
      <c r="N661">
        <f t="shared" si="54"/>
        <v>0.34857113281957991</v>
      </c>
    </row>
    <row r="662" spans="1:14">
      <c r="A662" t="s">
        <v>15</v>
      </c>
      <c r="B662" t="s">
        <v>111</v>
      </c>
      <c r="C662">
        <v>2022</v>
      </c>
      <c r="D662">
        <v>4.4000000000000004</v>
      </c>
      <c r="E662">
        <v>600</v>
      </c>
      <c r="F662">
        <v>553</v>
      </c>
      <c r="G662">
        <v>3.2</v>
      </c>
      <c r="H662" s="4">
        <v>103500</v>
      </c>
      <c r="I662" s="8" t="str" cm="1">
        <f t="array" ref="I662">_xlfn.IFS(H662&lt;50000,"Under $50K", H662&lt;100000,"$50K–$100K",
     H662&lt;200000,"$100K–$200K", H662&lt;500000,"$200K–$500K",
     H662&gt;=500000,"$500K+")</f>
        <v>$100K–$200K</v>
      </c>
      <c r="J662" s="9" t="str">
        <f t="shared" si="50"/>
        <v>2020s</v>
      </c>
      <c r="K662">
        <f t="shared" si="51"/>
        <v>4.2672369895101335E-2</v>
      </c>
      <c r="L662">
        <f t="shared" si="52"/>
        <v>0.31928406466512704</v>
      </c>
      <c r="M662">
        <f t="shared" si="53"/>
        <v>0.7021276595744681</v>
      </c>
      <c r="N662">
        <f t="shared" si="54"/>
        <v>0.35469469804489884</v>
      </c>
    </row>
    <row r="663" spans="1:14">
      <c r="A663" t="s">
        <v>17</v>
      </c>
      <c r="B663" t="s">
        <v>119</v>
      </c>
      <c r="C663">
        <v>2021</v>
      </c>
      <c r="D663">
        <v>6.2</v>
      </c>
      <c r="E663">
        <v>495</v>
      </c>
      <c r="F663">
        <v>470</v>
      </c>
      <c r="G663">
        <v>2.9</v>
      </c>
      <c r="H663" s="4">
        <v>58900</v>
      </c>
      <c r="I663" s="8" t="str" cm="1">
        <f t="array" ref="I663">_xlfn.IFS(H663&lt;50000,"Under $50K", H663&lt;100000,"$50K–$100K",
     H663&lt;200000,"$100K–$200K", H663&lt;500000,"$200K–$500K",
     H663&gt;=500000,"$500K+")</f>
        <v>$50K–$100K</v>
      </c>
      <c r="J663" s="9" t="str">
        <f t="shared" si="50"/>
        <v>2020s</v>
      </c>
      <c r="K663">
        <f t="shared" si="51"/>
        <v>3.1978816580099809E-2</v>
      </c>
      <c r="L663">
        <f t="shared" si="52"/>
        <v>0.27136258660508084</v>
      </c>
      <c r="M663">
        <f t="shared" si="53"/>
        <v>0.76595744680851063</v>
      </c>
      <c r="N663">
        <f t="shared" si="54"/>
        <v>0.3564329499978971</v>
      </c>
    </row>
    <row r="664" spans="1:14">
      <c r="A664" t="s">
        <v>18</v>
      </c>
      <c r="B664" t="s">
        <v>71</v>
      </c>
      <c r="C664">
        <v>2021</v>
      </c>
      <c r="D664">
        <v>6.2</v>
      </c>
      <c r="E664">
        <v>717</v>
      </c>
      <c r="F664">
        <v>656</v>
      </c>
      <c r="G664">
        <v>3.5</v>
      </c>
      <c r="H664" s="4">
        <v>63000</v>
      </c>
      <c r="I664" s="8" t="str" cm="1">
        <f t="array" ref="I664">_xlfn.IFS(H664&lt;50000,"Under $50K", H664&lt;100000,"$50K–$100K",
     H664&lt;200000,"$100K–$200K", H664&lt;500000,"$200K–$500K",
     H664&gt;=500000,"$500K+")</f>
        <v>$50K–$100K</v>
      </c>
      <c r="J664" s="9" t="str">
        <f t="shared" si="50"/>
        <v>2020s</v>
      </c>
      <c r="K664">
        <f t="shared" si="51"/>
        <v>5.4588043588960182E-2</v>
      </c>
      <c r="L664">
        <f t="shared" si="52"/>
        <v>0.3787528868360277</v>
      </c>
      <c r="M664">
        <f t="shared" si="53"/>
        <v>0.63829787234042556</v>
      </c>
      <c r="N664">
        <f t="shared" si="54"/>
        <v>0.35721293425513778</v>
      </c>
    </row>
    <row r="665" spans="1:14">
      <c r="A665" t="s">
        <v>20</v>
      </c>
      <c r="B665" t="s">
        <v>106</v>
      </c>
      <c r="C665">
        <v>2022</v>
      </c>
      <c r="D665">
        <v>5</v>
      </c>
      <c r="E665">
        <v>460</v>
      </c>
      <c r="F665">
        <v>420</v>
      </c>
      <c r="G665">
        <v>4</v>
      </c>
      <c r="H665" s="4">
        <v>45000</v>
      </c>
      <c r="I665" s="8" t="str" cm="1">
        <f t="array" ref="I665">_xlfn.IFS(H665&lt;50000,"Under $50K", H665&lt;100000,"$50K–$100K",
     H665&lt;200000,"$100K–$200K", H665&lt;500000,"$200K–$500K",
     H665&gt;=500000,"$500K+")</f>
        <v>Under $50K</v>
      </c>
      <c r="J665" s="9" t="str">
        <f t="shared" si="50"/>
        <v>2020s</v>
      </c>
      <c r="K665">
        <f t="shared" si="51"/>
        <v>2.8414298808432631E-2</v>
      </c>
      <c r="L665">
        <f t="shared" si="52"/>
        <v>0.24249422632794457</v>
      </c>
      <c r="M665">
        <f t="shared" si="53"/>
        <v>0.53191489361702127</v>
      </c>
      <c r="N665">
        <f t="shared" si="54"/>
        <v>0.26760780625113284</v>
      </c>
    </row>
    <row r="666" spans="1:14">
      <c r="A666" t="s">
        <v>36</v>
      </c>
      <c r="B666" t="s">
        <v>102</v>
      </c>
      <c r="C666">
        <v>2022</v>
      </c>
      <c r="D666">
        <v>2</v>
      </c>
      <c r="E666">
        <v>300</v>
      </c>
      <c r="F666">
        <v>280</v>
      </c>
      <c r="G666">
        <v>4.9000000000000004</v>
      </c>
      <c r="H666" s="4">
        <v>59900</v>
      </c>
      <c r="I666" s="8" t="str" cm="1">
        <f t="array" ref="I666">_xlfn.IFS(H666&lt;50000,"Under $50K", H666&lt;100000,"$50K–$100K",
     H666&lt;200000,"$100K–$200K", H666&lt;500000,"$200K–$500K",
     H666&gt;=500000,"$500K+")</f>
        <v>$50K–$100K</v>
      </c>
      <c r="J666" s="9" t="str">
        <f t="shared" si="50"/>
        <v>2020s</v>
      </c>
      <c r="K666">
        <f t="shared" si="51"/>
        <v>1.2119360423668398E-2</v>
      </c>
      <c r="L666">
        <f t="shared" si="52"/>
        <v>0.16166281755196305</v>
      </c>
      <c r="M666">
        <f t="shared" si="53"/>
        <v>0.34042553191489355</v>
      </c>
      <c r="N666">
        <f t="shared" si="54"/>
        <v>0.17140256996350833</v>
      </c>
    </row>
    <row r="667" spans="1:14">
      <c r="A667" t="s">
        <v>24</v>
      </c>
      <c r="B667" t="s">
        <v>115</v>
      </c>
      <c r="C667">
        <v>2021</v>
      </c>
      <c r="D667">
        <v>6.5</v>
      </c>
      <c r="E667">
        <v>770</v>
      </c>
      <c r="F667">
        <v>531</v>
      </c>
      <c r="G667">
        <v>2.8</v>
      </c>
      <c r="H667" s="4">
        <v>417826</v>
      </c>
      <c r="I667" s="8" t="str" cm="1">
        <f t="array" ref="I667">_xlfn.IFS(H667&lt;50000,"Under $50K", H667&lt;100000,"$50K–$100K",
     H667&lt;200000,"$100K–$200K", H667&lt;500000,"$200K–$500K",
     H667&gt;=500000,"$500K+")</f>
        <v>$200K–$500K</v>
      </c>
      <c r="J667" s="9" t="str">
        <f t="shared" si="50"/>
        <v>2020s</v>
      </c>
      <c r="K667">
        <f t="shared" si="51"/>
        <v>5.998574192891333E-2</v>
      </c>
      <c r="L667">
        <f t="shared" si="52"/>
        <v>0.30658198614318705</v>
      </c>
      <c r="M667">
        <f t="shared" si="53"/>
        <v>0.78723404255319152</v>
      </c>
      <c r="N667">
        <f t="shared" si="54"/>
        <v>0.38460059020843063</v>
      </c>
    </row>
    <row r="668" spans="1:14">
      <c r="A668" t="s">
        <v>19</v>
      </c>
      <c r="B668" t="s">
        <v>97</v>
      </c>
      <c r="C668">
        <v>2022</v>
      </c>
      <c r="D668">
        <v>3.9</v>
      </c>
      <c r="E668">
        <v>612</v>
      </c>
      <c r="F668">
        <v>560</v>
      </c>
      <c r="G668">
        <v>3.3</v>
      </c>
      <c r="H668" s="4">
        <v>222630</v>
      </c>
      <c r="I668" s="8" t="str" cm="1">
        <f t="array" ref="I668">_xlfn.IFS(H668&lt;50000,"Under $50K", H668&lt;100000,"$50K–$100K",
     H668&lt;200000,"$100K–$200K", H668&lt;500000,"$200K–$500K",
     H668&gt;=500000,"$500K+")</f>
        <v>$200K–$500K</v>
      </c>
      <c r="J668" s="9" t="str">
        <f t="shared" si="50"/>
        <v>2020s</v>
      </c>
      <c r="K668">
        <f t="shared" si="51"/>
        <v>4.3894490273958649E-2</v>
      </c>
      <c r="L668">
        <f t="shared" si="52"/>
        <v>0.32332563510392609</v>
      </c>
      <c r="M668">
        <f t="shared" si="53"/>
        <v>0.68085106382978733</v>
      </c>
      <c r="N668">
        <f t="shared" si="54"/>
        <v>0.34935706306922398</v>
      </c>
    </row>
    <row r="669" spans="1:14">
      <c r="A669" t="s">
        <v>13</v>
      </c>
      <c r="B669" t="s">
        <v>89</v>
      </c>
      <c r="C669">
        <v>2022</v>
      </c>
      <c r="D669">
        <v>4</v>
      </c>
      <c r="E669">
        <v>591</v>
      </c>
      <c r="F669">
        <v>590</v>
      </c>
      <c r="G669">
        <v>3.5</v>
      </c>
      <c r="H669" s="4">
        <v>114000</v>
      </c>
      <c r="I669" s="8" t="str" cm="1">
        <f t="array" ref="I669">_xlfn.IFS(H669&lt;50000,"Under $50K", H669&lt;100000,"$50K–$100K",
     H669&lt;200000,"$100K–$200K", H669&lt;500000,"$200K–$500K",
     H669&gt;=500000,"$500K+")</f>
        <v>$100K–$200K</v>
      </c>
      <c r="J669" s="9" t="str">
        <f t="shared" si="50"/>
        <v>2020s</v>
      </c>
      <c r="K669">
        <f t="shared" si="51"/>
        <v>4.1755779610958346E-2</v>
      </c>
      <c r="L669">
        <f t="shared" si="52"/>
        <v>0.34064665127020788</v>
      </c>
      <c r="M669">
        <f t="shared" si="53"/>
        <v>0.63829787234042556</v>
      </c>
      <c r="N669">
        <f t="shared" si="54"/>
        <v>0.34023343440719728</v>
      </c>
    </row>
    <row r="670" spans="1:14">
      <c r="A670" t="s">
        <v>29</v>
      </c>
      <c r="B670" t="s">
        <v>103</v>
      </c>
      <c r="C670">
        <v>2021</v>
      </c>
      <c r="D670">
        <v>3.8</v>
      </c>
      <c r="E670">
        <v>562</v>
      </c>
      <c r="F670">
        <v>443</v>
      </c>
      <c r="G670">
        <v>2.7</v>
      </c>
      <c r="H670" s="4">
        <v>204995</v>
      </c>
      <c r="I670" s="8" t="str" cm="1">
        <f t="array" ref="I670">_xlfn.IFS(H670&lt;50000,"Under $50K", H670&lt;100000,"$50K–$100K",
     H670&lt;200000,"$100K–$200K", H670&lt;500000,"$200K–$500K",
     H670&gt;=500000,"$500K+")</f>
        <v>$200K–$500K</v>
      </c>
      <c r="J670" s="9" t="str">
        <f t="shared" si="50"/>
        <v>2020s</v>
      </c>
      <c r="K670">
        <f t="shared" si="51"/>
        <v>3.8802322028719832E-2</v>
      </c>
      <c r="L670">
        <f t="shared" si="52"/>
        <v>0.25577367205542723</v>
      </c>
      <c r="M670">
        <f t="shared" si="53"/>
        <v>0.80851063829787229</v>
      </c>
      <c r="N670">
        <f t="shared" si="54"/>
        <v>0.36769554412733979</v>
      </c>
    </row>
    <row r="671" spans="1:14">
      <c r="A671" t="s">
        <v>15</v>
      </c>
      <c r="B671" t="s">
        <v>90</v>
      </c>
      <c r="C671">
        <v>2022</v>
      </c>
      <c r="D671">
        <v>3</v>
      </c>
      <c r="E671">
        <v>473</v>
      </c>
      <c r="F671">
        <v>406</v>
      </c>
      <c r="G671">
        <v>4.0999999999999996</v>
      </c>
      <c r="H671" s="4">
        <v>71800</v>
      </c>
      <c r="I671" s="8" t="str" cm="1">
        <f t="array" ref="I671">_xlfn.IFS(H671&lt;50000,"Under $50K", H671&lt;100000,"$50K–$100K",
     H671&lt;200000,"$100K–$200K", H671&lt;500000,"$200K–$500K",
     H671&gt;=500000,"$500K+")</f>
        <v>$50K–$100K</v>
      </c>
      <c r="J671" s="9" t="str">
        <f t="shared" si="50"/>
        <v>2020s</v>
      </c>
      <c r="K671">
        <f t="shared" si="51"/>
        <v>2.9738262552194725E-2</v>
      </c>
      <c r="L671">
        <f t="shared" si="52"/>
        <v>0.23441108545034642</v>
      </c>
      <c r="M671">
        <f t="shared" si="53"/>
        <v>0.5106382978723405</v>
      </c>
      <c r="N671">
        <f t="shared" si="54"/>
        <v>0.25826254862496056</v>
      </c>
    </row>
    <row r="672" spans="1:14">
      <c r="A672" t="s">
        <v>31</v>
      </c>
      <c r="B672" t="s">
        <v>82</v>
      </c>
      <c r="C672">
        <v>2021</v>
      </c>
      <c r="D672">
        <v>6.2</v>
      </c>
      <c r="E672">
        <v>622</v>
      </c>
      <c r="F672">
        <v>468</v>
      </c>
      <c r="G672">
        <v>3.5</v>
      </c>
      <c r="H672" s="4">
        <v>243600</v>
      </c>
      <c r="I672" s="8" t="str" cm="1">
        <f t="array" ref="I672">_xlfn.IFS(H672&lt;50000,"Under $50K", H672&lt;100000,"$50K–$100K",
     H672&lt;200000,"$100K–$200K", H672&lt;500000,"$200K–$500K",
     H672&gt;=500000,"$500K+")</f>
        <v>$200K–$500K</v>
      </c>
      <c r="J672" s="9" t="str">
        <f t="shared" si="50"/>
        <v>2020s</v>
      </c>
      <c r="K672">
        <f t="shared" si="51"/>
        <v>4.4912923923006415E-2</v>
      </c>
      <c r="L672">
        <f t="shared" si="52"/>
        <v>0.2702078521939954</v>
      </c>
      <c r="M672">
        <f t="shared" si="53"/>
        <v>0.63829787234042556</v>
      </c>
      <c r="N672">
        <f t="shared" si="54"/>
        <v>0.31780621615247578</v>
      </c>
    </row>
    <row r="673" spans="1:14">
      <c r="A673" t="s">
        <v>17</v>
      </c>
      <c r="B673" t="s">
        <v>105</v>
      </c>
      <c r="C673">
        <v>2021</v>
      </c>
      <c r="D673">
        <v>6.2</v>
      </c>
      <c r="E673">
        <v>455</v>
      </c>
      <c r="F673">
        <v>455</v>
      </c>
      <c r="G673">
        <v>4</v>
      </c>
      <c r="H673" s="4">
        <v>42000</v>
      </c>
      <c r="I673" s="8" t="str" cm="1">
        <f t="array" ref="I673">_xlfn.IFS(H673&lt;50000,"Under $50K", H673&lt;100000,"$50K–$100K",
     H673&lt;200000,"$100K–$200K", H673&lt;500000,"$200K–$500K",
     H673&gt;=500000,"$500K+")</f>
        <v>Under $50K</v>
      </c>
      <c r="J673" s="9" t="str">
        <f t="shared" si="50"/>
        <v>2020s</v>
      </c>
      <c r="K673">
        <f t="shared" si="51"/>
        <v>2.7905081983908748E-2</v>
      </c>
      <c r="L673">
        <f t="shared" si="52"/>
        <v>0.26270207852193994</v>
      </c>
      <c r="M673">
        <f t="shared" si="53"/>
        <v>0.53191489361702127</v>
      </c>
      <c r="N673">
        <f t="shared" si="54"/>
        <v>0.27417401804095665</v>
      </c>
    </row>
    <row r="674" spans="1:14">
      <c r="A674" t="s">
        <v>20</v>
      </c>
      <c r="B674" t="s">
        <v>92</v>
      </c>
      <c r="C674">
        <v>2022</v>
      </c>
      <c r="D674">
        <v>3.5</v>
      </c>
      <c r="E674">
        <v>660</v>
      </c>
      <c r="F674">
        <v>550</v>
      </c>
      <c r="G674">
        <v>2.8</v>
      </c>
      <c r="H674" s="4">
        <v>500000</v>
      </c>
      <c r="I674" s="8" t="str" cm="1">
        <f t="array" ref="I674">_xlfn.IFS(H674&lt;50000,"Under $50K", H674&lt;100000,"$50K–$100K",
     H674&lt;200000,"$100K–$200K", H674&lt;500000,"$200K–$500K",
     H674&gt;=500000,"$500K+")</f>
        <v>$500K+</v>
      </c>
      <c r="J674" s="9" t="str">
        <f t="shared" si="50"/>
        <v>2020s</v>
      </c>
      <c r="K674">
        <f t="shared" si="51"/>
        <v>4.8782971789387924E-2</v>
      </c>
      <c r="L674">
        <f t="shared" si="52"/>
        <v>0.31755196304849886</v>
      </c>
      <c r="M674">
        <f t="shared" si="53"/>
        <v>0.78723404255319152</v>
      </c>
      <c r="N674">
        <f t="shared" si="54"/>
        <v>0.38452299246369276</v>
      </c>
    </row>
    <row r="675" spans="1:14">
      <c r="A675" t="s">
        <v>32</v>
      </c>
      <c r="B675" t="s">
        <v>93</v>
      </c>
      <c r="C675">
        <v>2021</v>
      </c>
      <c r="D675">
        <v>3.7</v>
      </c>
      <c r="E675">
        <v>350</v>
      </c>
      <c r="F675">
        <v>276</v>
      </c>
      <c r="G675">
        <v>5</v>
      </c>
      <c r="H675" s="4">
        <v>47190</v>
      </c>
      <c r="I675" s="8" t="str" cm="1">
        <f t="array" ref="I675">_xlfn.IFS(H675&lt;50000,"Under $50K", H675&lt;100000,"$50K–$100K",
     H675&lt;200000,"$100K–$200K", H675&lt;500000,"$200K–$500K",
     H675&gt;=500000,"$500K+")</f>
        <v>Under $50K</v>
      </c>
      <c r="J675" s="9" t="str">
        <f t="shared" si="50"/>
        <v>2020s</v>
      </c>
      <c r="K675">
        <f t="shared" si="51"/>
        <v>1.7211528668907222E-2</v>
      </c>
      <c r="L675">
        <f t="shared" si="52"/>
        <v>0.15935334872979215</v>
      </c>
      <c r="M675">
        <f t="shared" si="53"/>
        <v>0.31914893617021278</v>
      </c>
      <c r="N675">
        <f t="shared" si="54"/>
        <v>0.16523793785630406</v>
      </c>
    </row>
    <row r="676" spans="1:14">
      <c r="A676" t="s">
        <v>36</v>
      </c>
      <c r="B676" t="s">
        <v>108</v>
      </c>
      <c r="C676">
        <v>2022</v>
      </c>
      <c r="D676">
        <v>2.9</v>
      </c>
      <c r="E676">
        <v>325</v>
      </c>
      <c r="F676">
        <v>331</v>
      </c>
      <c r="G676">
        <v>5.4</v>
      </c>
      <c r="H676" s="4">
        <v>88550</v>
      </c>
      <c r="I676" s="8" t="str" cm="1">
        <f t="array" ref="I676">_xlfn.IFS(H676&lt;50000,"Under $50K", H676&lt;100000,"$50K–$100K",
     H676&lt;200000,"$100K–$200K", H676&lt;500000,"$200K–$500K",
     H676&gt;=500000,"$500K+")</f>
        <v>$50K–$100K</v>
      </c>
      <c r="J676" s="9" t="str">
        <f t="shared" si="50"/>
        <v>2020s</v>
      </c>
      <c r="K676">
        <f t="shared" si="51"/>
        <v>1.466544454628781E-2</v>
      </c>
      <c r="L676">
        <f t="shared" si="52"/>
        <v>0.19110854503464203</v>
      </c>
      <c r="M676">
        <f t="shared" si="53"/>
        <v>0.23404255319148926</v>
      </c>
      <c r="N676">
        <f t="shared" si="54"/>
        <v>0.14660551425747304</v>
      </c>
    </row>
    <row r="677" spans="1:14">
      <c r="A677" t="s">
        <v>24</v>
      </c>
      <c r="B677" t="s">
        <v>96</v>
      </c>
      <c r="C677">
        <v>2021</v>
      </c>
      <c r="D677">
        <v>4</v>
      </c>
      <c r="E677">
        <v>641</v>
      </c>
      <c r="F677">
        <v>627</v>
      </c>
      <c r="G677">
        <v>3.2</v>
      </c>
      <c r="H677" s="4">
        <v>218000</v>
      </c>
      <c r="I677" s="8" t="str" cm="1">
        <f t="array" ref="I677">_xlfn.IFS(H677&lt;50000,"Under $50K", H677&lt;100000,"$50K–$100K",
     H677&lt;200000,"$100K–$200K", H677&lt;500000,"$200K–$500K",
     H677&gt;=500000,"$500K+")</f>
        <v>$200K–$500K</v>
      </c>
      <c r="J677" s="9" t="str">
        <f t="shared" si="50"/>
        <v>2020s</v>
      </c>
      <c r="K677">
        <f t="shared" si="51"/>
        <v>4.684794785619717E-2</v>
      </c>
      <c r="L677">
        <f t="shared" si="52"/>
        <v>0.36200923787528866</v>
      </c>
      <c r="M677">
        <f t="shared" si="53"/>
        <v>0.7021276595744681</v>
      </c>
      <c r="N677">
        <f t="shared" si="54"/>
        <v>0.37032828176865129</v>
      </c>
    </row>
    <row r="678" spans="1:14">
      <c r="A678" t="s">
        <v>19</v>
      </c>
      <c r="B678" t="s">
        <v>88</v>
      </c>
      <c r="C678">
        <v>2021</v>
      </c>
      <c r="D678">
        <v>4</v>
      </c>
      <c r="E678">
        <v>986</v>
      </c>
      <c r="F678">
        <v>590</v>
      </c>
      <c r="G678">
        <v>2.5</v>
      </c>
      <c r="H678" s="4">
        <v>625000</v>
      </c>
      <c r="I678" s="8" t="str" cm="1">
        <f t="array" ref="I678">_xlfn.IFS(H678&lt;50000,"Under $50K", H678&lt;100000,"$50K–$100K",
     H678&lt;200000,"$100K–$200K", H678&lt;500000,"$200K–$500K",
     H678&gt;=500000,"$500K+")</f>
        <v>$500K+</v>
      </c>
      <c r="J678" s="9" t="str">
        <f t="shared" si="50"/>
        <v>2020s</v>
      </c>
      <c r="K678">
        <f t="shared" si="51"/>
        <v>8.1983908748345047E-2</v>
      </c>
      <c r="L678">
        <f t="shared" si="52"/>
        <v>0.34064665127020788</v>
      </c>
      <c r="M678">
        <f t="shared" si="53"/>
        <v>0.85106382978723405</v>
      </c>
      <c r="N678">
        <f t="shared" si="54"/>
        <v>0.42456479660192903</v>
      </c>
    </row>
    <row r="679" spans="1:14">
      <c r="A679" t="s">
        <v>13</v>
      </c>
      <c r="B679" t="s">
        <v>223</v>
      </c>
      <c r="C679">
        <v>2022</v>
      </c>
      <c r="D679">
        <v>4</v>
      </c>
      <c r="E679">
        <v>591</v>
      </c>
      <c r="F679">
        <v>590</v>
      </c>
      <c r="G679">
        <v>3.5</v>
      </c>
      <c r="H679" s="4">
        <v>113000</v>
      </c>
      <c r="I679" s="8" t="str" cm="1">
        <f t="array" ref="I679">_xlfn.IFS(H679&lt;50000,"Under $50K", H679&lt;100000,"$50K–$100K",
     H679&lt;200000,"$100K–$200K", H679&lt;500000,"$200K–$500K",
     H679&gt;=500000,"$500K+")</f>
        <v>$100K–$200K</v>
      </c>
      <c r="J679" s="9" t="str">
        <f t="shared" si="50"/>
        <v>2020s</v>
      </c>
      <c r="K679">
        <f t="shared" si="51"/>
        <v>4.1755779610958346E-2</v>
      </c>
      <c r="L679">
        <f t="shared" si="52"/>
        <v>0.34064665127020788</v>
      </c>
      <c r="M679">
        <f t="shared" si="53"/>
        <v>0.63829787234042556</v>
      </c>
      <c r="N679">
        <f t="shared" si="54"/>
        <v>0.34023343440719728</v>
      </c>
    </row>
    <row r="680" spans="1:14">
      <c r="A680" t="s">
        <v>29</v>
      </c>
      <c r="B680" t="s">
        <v>81</v>
      </c>
      <c r="C680">
        <v>2021</v>
      </c>
      <c r="D680">
        <v>3</v>
      </c>
      <c r="E680">
        <v>671</v>
      </c>
      <c r="F680">
        <v>531</v>
      </c>
      <c r="G680">
        <v>3</v>
      </c>
      <c r="H680" s="4">
        <v>225000</v>
      </c>
      <c r="I680" s="8" t="str" cm="1">
        <f t="array" ref="I680">_xlfn.IFS(H680&lt;50000,"Under $50K", H680&lt;100000,"$50K–$100K",
     H680&lt;200000,"$100K–$200K", H680&lt;500000,"$200K–$500K",
     H680&gt;=500000,"$500K+")</f>
        <v>$200K–$500K</v>
      </c>
      <c r="J680" s="9" t="str">
        <f t="shared" si="50"/>
        <v>2020s</v>
      </c>
      <c r="K680">
        <f t="shared" si="51"/>
        <v>4.9903248803340461E-2</v>
      </c>
      <c r="L680">
        <f t="shared" si="52"/>
        <v>0.30658198614318705</v>
      </c>
      <c r="M680">
        <f t="shared" si="53"/>
        <v>0.74468085106382986</v>
      </c>
      <c r="N680">
        <f t="shared" si="54"/>
        <v>0.36705536200345246</v>
      </c>
    </row>
    <row r="681" spans="1:14">
      <c r="A681" t="s">
        <v>15</v>
      </c>
      <c r="B681" t="s">
        <v>113</v>
      </c>
      <c r="C681">
        <v>2022</v>
      </c>
      <c r="D681">
        <v>3</v>
      </c>
      <c r="E681">
        <v>405</v>
      </c>
      <c r="F681">
        <v>406</v>
      </c>
      <c r="G681">
        <v>4</v>
      </c>
      <c r="H681" s="4">
        <v>58900</v>
      </c>
      <c r="I681" s="8" t="str" cm="1">
        <f t="array" ref="I681">_xlfn.IFS(H681&lt;50000,"Under $50K", H681&lt;100000,"$50K–$100K",
     H681&lt;200000,"$100K–$200K", H681&lt;500000,"$200K–$500K",
     H681&gt;=500000,"$500K+")</f>
        <v>$50K–$100K</v>
      </c>
      <c r="J681" s="9" t="str">
        <f t="shared" si="50"/>
        <v>2020s</v>
      </c>
      <c r="K681">
        <f t="shared" si="51"/>
        <v>2.2812913738669924E-2</v>
      </c>
      <c r="L681">
        <f t="shared" si="52"/>
        <v>0.23441108545034642</v>
      </c>
      <c r="M681">
        <f t="shared" si="53"/>
        <v>0.53191489361702127</v>
      </c>
      <c r="N681">
        <f t="shared" si="54"/>
        <v>0.26304629760201254</v>
      </c>
    </row>
    <row r="682" spans="1:14">
      <c r="A682" t="s">
        <v>31</v>
      </c>
      <c r="B682" t="s">
        <v>224</v>
      </c>
      <c r="C682">
        <v>2021</v>
      </c>
      <c r="D682">
        <v>4</v>
      </c>
      <c r="E682">
        <v>577</v>
      </c>
      <c r="F682">
        <v>590</v>
      </c>
      <c r="G682">
        <v>3.3</v>
      </c>
      <c r="H682" s="4">
        <v>161200</v>
      </c>
      <c r="I682" s="8" t="str" cm="1">
        <f t="array" ref="I682">_xlfn.IFS(H682&lt;50000,"Under $50K", H682&lt;100000,"$50K–$100K",
     H682&lt;200000,"$100K–$200K", H682&lt;500000,"$200K–$500K",
     H682&gt;=500000,"$500K+")</f>
        <v>$100K–$200K</v>
      </c>
      <c r="J682" s="9" t="str">
        <f t="shared" si="50"/>
        <v>2020s</v>
      </c>
      <c r="K682">
        <f t="shared" si="51"/>
        <v>4.0329972502291478E-2</v>
      </c>
      <c r="L682">
        <f t="shared" si="52"/>
        <v>0.34064665127020788</v>
      </c>
      <c r="M682">
        <f t="shared" si="53"/>
        <v>0.68085106382978733</v>
      </c>
      <c r="N682">
        <f t="shared" si="54"/>
        <v>0.35394256253409556</v>
      </c>
    </row>
    <row r="683" spans="1:14">
      <c r="A683" t="s">
        <v>17</v>
      </c>
      <c r="B683" t="s">
        <v>91</v>
      </c>
      <c r="C683">
        <v>2021</v>
      </c>
      <c r="D683">
        <v>6.2</v>
      </c>
      <c r="E683">
        <v>650</v>
      </c>
      <c r="F683">
        <v>650</v>
      </c>
      <c r="G683">
        <v>3.5</v>
      </c>
      <c r="H683" s="4">
        <v>63000</v>
      </c>
      <c r="I683" s="8" t="str" cm="1">
        <f t="array" ref="I683">_xlfn.IFS(H683&lt;50000,"Under $50K", H683&lt;100000,"$50K–$100K",
     H683&lt;200000,"$100K–$200K", H683&lt;500000,"$200K–$500K",
     H683&gt;=500000,"$500K+")</f>
        <v>$50K–$100K</v>
      </c>
      <c r="J683" s="9" t="str">
        <f t="shared" si="50"/>
        <v>2020s</v>
      </c>
      <c r="K683">
        <f t="shared" si="51"/>
        <v>4.7764538140340158E-2</v>
      </c>
      <c r="L683">
        <f t="shared" si="52"/>
        <v>0.37528868360277134</v>
      </c>
      <c r="M683">
        <f t="shared" si="53"/>
        <v>0.63829787234042556</v>
      </c>
      <c r="N683">
        <f t="shared" si="54"/>
        <v>0.35378369802784571</v>
      </c>
    </row>
    <row r="684" spans="1:14">
      <c r="A684" t="s">
        <v>12</v>
      </c>
      <c r="B684" t="s">
        <v>132</v>
      </c>
      <c r="C684">
        <v>2021</v>
      </c>
      <c r="D684">
        <v>5.2</v>
      </c>
      <c r="E684">
        <v>715</v>
      </c>
      <c r="F684">
        <v>663</v>
      </c>
      <c r="G684">
        <v>3.2</v>
      </c>
      <c r="H684" s="4">
        <v>310000</v>
      </c>
      <c r="I684" s="8" t="str" cm="1">
        <f t="array" ref="I684">_xlfn.IFS(H684&lt;50000,"Under $50K", H684&lt;100000,"$50K–$100K",
     H684&lt;200000,"$100K–$200K", H684&lt;500000,"$200K–$500K",
     H684&gt;=500000,"$500K+")</f>
        <v>$200K–$500K</v>
      </c>
      <c r="J684" s="9" t="str">
        <f t="shared" si="50"/>
        <v>2020s</v>
      </c>
      <c r="K684">
        <f t="shared" si="51"/>
        <v>5.4384356859150627E-2</v>
      </c>
      <c r="L684">
        <f t="shared" si="52"/>
        <v>0.3827944572748268</v>
      </c>
      <c r="M684">
        <f t="shared" si="53"/>
        <v>0.7021276595744681</v>
      </c>
      <c r="N684">
        <f t="shared" si="54"/>
        <v>0.37976882456948186</v>
      </c>
    </row>
    <row r="685" spans="1:14">
      <c r="A685" t="s">
        <v>16</v>
      </c>
      <c r="B685" t="s">
        <v>70</v>
      </c>
      <c r="C685">
        <v>2022</v>
      </c>
      <c r="D685">
        <v>8</v>
      </c>
      <c r="E685">
        <v>1500</v>
      </c>
      <c r="F685">
        <v>1180</v>
      </c>
      <c r="G685">
        <v>2.4</v>
      </c>
      <c r="H685" s="4">
        <v>3000000</v>
      </c>
      <c r="I685" s="8" t="str" cm="1">
        <f t="array" ref="I685">_xlfn.IFS(H685&lt;50000,"Under $50K", H685&lt;100000,"$50K–$100K",
     H685&lt;200000,"$100K–$200K", H685&lt;500000,"$200K–$500K",
     H685&gt;=500000,"$500K+")</f>
        <v>$500K+</v>
      </c>
      <c r="J685" s="9" t="str">
        <f t="shared" si="50"/>
        <v>2020s</v>
      </c>
      <c r="K685">
        <f t="shared" si="51"/>
        <v>0.13433139830940014</v>
      </c>
      <c r="L685">
        <f t="shared" si="52"/>
        <v>0.68129330254041576</v>
      </c>
      <c r="M685">
        <f t="shared" si="53"/>
        <v>0.87234042553191493</v>
      </c>
      <c r="N685">
        <f t="shared" si="54"/>
        <v>0.5626550421272436</v>
      </c>
    </row>
    <row r="686" spans="1:14">
      <c r="A686" t="s">
        <v>23</v>
      </c>
      <c r="B686" t="s">
        <v>73</v>
      </c>
      <c r="C686">
        <v>2021</v>
      </c>
      <c r="D686">
        <v>5</v>
      </c>
      <c r="E686">
        <v>1280</v>
      </c>
      <c r="F686">
        <v>1106</v>
      </c>
      <c r="G686">
        <v>2.5</v>
      </c>
      <c r="H686" s="4">
        <v>2800000</v>
      </c>
      <c r="I686" s="8" t="str" cm="1">
        <f t="array" ref="I686">_xlfn.IFS(H686&lt;50000,"Under $50K", H686&lt;100000,"$50K–$100K",
     H686&lt;200000,"$100K–$200K", H686&lt;500000,"$200K–$500K",
     H686&gt;=500000,"$500K+")</f>
        <v>$500K+</v>
      </c>
      <c r="J686" s="9" t="str">
        <f t="shared" si="50"/>
        <v>2020s</v>
      </c>
      <c r="K686">
        <f t="shared" si="51"/>
        <v>0.11192585803034932</v>
      </c>
      <c r="L686">
        <f t="shared" si="52"/>
        <v>0.63856812933025409</v>
      </c>
      <c r="M686">
        <f t="shared" si="53"/>
        <v>0.85106382978723405</v>
      </c>
      <c r="N686">
        <f t="shared" si="54"/>
        <v>0.53385260571594584</v>
      </c>
    </row>
    <row r="687" spans="1:14">
      <c r="A687" t="s">
        <v>33</v>
      </c>
      <c r="B687" t="s">
        <v>83</v>
      </c>
      <c r="C687">
        <v>2021</v>
      </c>
      <c r="D687">
        <v>6</v>
      </c>
      <c r="E687">
        <v>764</v>
      </c>
      <c r="F687">
        <v>737</v>
      </c>
      <c r="G687">
        <v>3</v>
      </c>
      <c r="H687" s="4">
        <v>2600000</v>
      </c>
      <c r="I687" s="8" t="str" cm="1">
        <f t="array" ref="I687">_xlfn.IFS(H687&lt;50000,"Under $50K", H687&lt;100000,"$50K–$100K",
     H687&lt;200000,"$100K–$200K", H687&lt;500000,"$200K–$500K",
     H687&gt;=500000,"$500K+")</f>
        <v>$500K+</v>
      </c>
      <c r="J687" s="9" t="str">
        <f t="shared" si="50"/>
        <v>2020s</v>
      </c>
      <c r="K687">
        <f t="shared" si="51"/>
        <v>5.9374681739484673E-2</v>
      </c>
      <c r="L687">
        <f t="shared" si="52"/>
        <v>0.42551963048498848</v>
      </c>
      <c r="M687">
        <f t="shared" si="53"/>
        <v>0.74468085106382986</v>
      </c>
      <c r="N687">
        <f t="shared" si="54"/>
        <v>0.40985838776276767</v>
      </c>
    </row>
    <row r="688" spans="1:14">
      <c r="A688" t="s">
        <v>37</v>
      </c>
      <c r="B688" t="s">
        <v>140</v>
      </c>
      <c r="C688">
        <v>2022</v>
      </c>
      <c r="D688" t="s">
        <v>141</v>
      </c>
      <c r="E688">
        <v>1914</v>
      </c>
      <c r="F688">
        <v>1696</v>
      </c>
      <c r="G688">
        <v>1.85</v>
      </c>
      <c r="H688" s="4">
        <v>2400000</v>
      </c>
      <c r="I688" s="8" t="str" cm="1">
        <f t="array" ref="I688">_xlfn.IFS(H688&lt;50000,"Under $50K", H688&lt;100000,"$50K–$100K",
     H688&lt;200000,"$100K–$200K", H688&lt;500000,"$200K–$500K",
     H688&gt;=500000,"$500K+")</f>
        <v>$500K+</v>
      </c>
      <c r="J688" s="9" t="str">
        <f t="shared" si="50"/>
        <v>2020s</v>
      </c>
      <c r="K688">
        <f t="shared" si="51"/>
        <v>0.1764945513799776</v>
      </c>
      <c r="L688">
        <f t="shared" si="52"/>
        <v>0.97921478060046185</v>
      </c>
      <c r="M688">
        <f t="shared" si="53"/>
        <v>0.98936170212765961</v>
      </c>
      <c r="N688">
        <f t="shared" si="54"/>
        <v>0.71502367803603306</v>
      </c>
    </row>
    <row r="689" spans="1:14">
      <c r="A689" t="s">
        <v>29</v>
      </c>
      <c r="B689" t="s">
        <v>208</v>
      </c>
      <c r="C689">
        <v>2021</v>
      </c>
      <c r="D689">
        <v>4</v>
      </c>
      <c r="E689">
        <v>789</v>
      </c>
      <c r="F689">
        <v>590</v>
      </c>
      <c r="G689">
        <v>2.7</v>
      </c>
      <c r="H689" s="4">
        <v>1000000</v>
      </c>
      <c r="I689" s="8" t="str" cm="1">
        <f t="array" ref="I689">_xlfn.IFS(H689&lt;50000,"Under $50K", H689&lt;100000,"$50K–$100K",
     H689&lt;200000,"$100K–$200K", H689&lt;500000,"$200K–$500K",
     H689&gt;=500000,"$500K+")</f>
        <v>$500K+</v>
      </c>
      <c r="J689" s="9" t="str">
        <f t="shared" si="50"/>
        <v>2020s</v>
      </c>
      <c r="K689">
        <f t="shared" si="51"/>
        <v>6.1920765862104085E-2</v>
      </c>
      <c r="L689">
        <f t="shared" si="52"/>
        <v>0.34064665127020788</v>
      </c>
      <c r="M689">
        <f t="shared" si="53"/>
        <v>0.80851063829787229</v>
      </c>
      <c r="N689">
        <f t="shared" si="54"/>
        <v>0.40369268514339479</v>
      </c>
    </row>
    <row r="690" spans="1:14">
      <c r="A690" t="s">
        <v>36</v>
      </c>
      <c r="B690" t="s">
        <v>225</v>
      </c>
      <c r="C690">
        <v>2015</v>
      </c>
      <c r="D690">
        <v>4.5999999999999996</v>
      </c>
      <c r="E690">
        <v>887</v>
      </c>
      <c r="F690">
        <v>944</v>
      </c>
      <c r="G690">
        <v>2.2000000000000002</v>
      </c>
      <c r="H690" s="4">
        <v>1800000</v>
      </c>
      <c r="I690" s="8" t="str" cm="1">
        <f t="array" ref="I690">_xlfn.IFS(H690&lt;50000,"Under $50K", H690&lt;100000,"$50K–$100K",
     H690&lt;200000,"$100K–$200K", H690&lt;500000,"$200K–$500K",
     H690&gt;=500000,"$500K+")</f>
        <v>$500K+</v>
      </c>
      <c r="J690" s="9" t="str">
        <f t="shared" si="50"/>
        <v>2010s</v>
      </c>
      <c r="K690">
        <f t="shared" si="51"/>
        <v>7.1901415622772177E-2</v>
      </c>
      <c r="L690">
        <f t="shared" si="52"/>
        <v>0.54503464203233254</v>
      </c>
      <c r="M690">
        <f t="shared" si="53"/>
        <v>0.91489361702127658</v>
      </c>
      <c r="N690">
        <f t="shared" si="54"/>
        <v>0.51060989155879377</v>
      </c>
    </row>
    <row r="691" spans="1:14">
      <c r="A691" t="s">
        <v>19</v>
      </c>
      <c r="B691" t="s">
        <v>88</v>
      </c>
      <c r="C691">
        <v>2021</v>
      </c>
      <c r="D691">
        <v>4</v>
      </c>
      <c r="E691">
        <v>986</v>
      </c>
      <c r="F691">
        <v>590</v>
      </c>
      <c r="G691">
        <v>2.5</v>
      </c>
      <c r="H691" s="4">
        <v>625000</v>
      </c>
      <c r="I691" s="8" t="str" cm="1">
        <f t="array" ref="I691">_xlfn.IFS(H691&lt;50000,"Under $50K", H691&lt;100000,"$50K–$100K",
     H691&lt;200000,"$100K–$200K", H691&lt;500000,"$200K–$500K",
     H691&gt;=500000,"$500K+")</f>
        <v>$500K+</v>
      </c>
      <c r="J691" s="9" t="str">
        <f t="shared" si="50"/>
        <v>2020s</v>
      </c>
      <c r="K691">
        <f t="shared" si="51"/>
        <v>8.1983908748345047E-2</v>
      </c>
      <c r="L691">
        <f t="shared" si="52"/>
        <v>0.34064665127020788</v>
      </c>
      <c r="M691">
        <f t="shared" si="53"/>
        <v>0.85106382978723405</v>
      </c>
      <c r="N691">
        <f t="shared" si="54"/>
        <v>0.42456479660192903</v>
      </c>
    </row>
    <row r="692" spans="1:14">
      <c r="A692" t="s">
        <v>24</v>
      </c>
      <c r="B692" t="s">
        <v>87</v>
      </c>
      <c r="C692">
        <v>2020</v>
      </c>
      <c r="D692">
        <v>6.5</v>
      </c>
      <c r="E692">
        <v>759</v>
      </c>
      <c r="F692">
        <v>531</v>
      </c>
      <c r="G692">
        <v>2.8</v>
      </c>
      <c r="H692" s="4">
        <v>517000</v>
      </c>
      <c r="I692" s="8" t="str" cm="1">
        <f t="array" ref="I692">_xlfn.IFS(H692&lt;50000,"Under $50K", H692&lt;100000,"$50K–$100K",
     H692&lt;200000,"$100K–$200K", H692&lt;500000,"$200K–$500K",
     H692&gt;=500000,"$500K+")</f>
        <v>$500K+</v>
      </c>
      <c r="J692" s="9" t="str">
        <f t="shared" si="50"/>
        <v>2020s</v>
      </c>
      <c r="K692">
        <f t="shared" si="51"/>
        <v>5.8865464914960787E-2</v>
      </c>
      <c r="L692">
        <f t="shared" si="52"/>
        <v>0.30658198614318705</v>
      </c>
      <c r="M692">
        <f t="shared" si="53"/>
        <v>0.78723404255319152</v>
      </c>
      <c r="N692">
        <f t="shared" si="54"/>
        <v>0.38422716453711314</v>
      </c>
    </row>
    <row r="693" spans="1:14">
      <c r="A693" t="s">
        <v>13</v>
      </c>
      <c r="B693" t="s">
        <v>150</v>
      </c>
      <c r="C693">
        <v>2021</v>
      </c>
      <c r="D693">
        <v>4</v>
      </c>
      <c r="E693">
        <v>591</v>
      </c>
      <c r="F693">
        <v>590</v>
      </c>
      <c r="G693">
        <v>3.5</v>
      </c>
      <c r="H693" s="4">
        <v>110000</v>
      </c>
      <c r="I693" s="8" t="str" cm="1">
        <f t="array" ref="I693">_xlfn.IFS(H693&lt;50000,"Under $50K", H693&lt;100000,"$50K–$100K",
     H693&lt;200000,"$100K–$200K", H693&lt;500000,"$200K–$500K",
     H693&gt;=500000,"$500K+")</f>
        <v>$100K–$200K</v>
      </c>
      <c r="J693" s="9" t="str">
        <f t="shared" si="50"/>
        <v>2020s</v>
      </c>
      <c r="K693">
        <f t="shared" si="51"/>
        <v>4.1755779610958346E-2</v>
      </c>
      <c r="L693">
        <f t="shared" si="52"/>
        <v>0.34064665127020788</v>
      </c>
      <c r="M693">
        <f t="shared" si="53"/>
        <v>0.63829787234042556</v>
      </c>
      <c r="N693">
        <f t="shared" si="54"/>
        <v>0.34023343440719728</v>
      </c>
    </row>
    <row r="694" spans="1:14">
      <c r="A694" t="s">
        <v>14</v>
      </c>
      <c r="B694" t="s">
        <v>226</v>
      </c>
      <c r="C694">
        <v>2022</v>
      </c>
      <c r="D694">
        <v>6</v>
      </c>
      <c r="E694">
        <v>650</v>
      </c>
      <c r="F694">
        <v>664</v>
      </c>
      <c r="G694">
        <v>3.5</v>
      </c>
      <c r="H694" s="4">
        <v>300000</v>
      </c>
      <c r="I694" s="8" t="str" cm="1">
        <f t="array" ref="I694">_xlfn.IFS(H694&lt;50000,"Under $50K", H694&lt;100000,"$50K–$100K",
     H694&lt;200000,"$100K–$200K", H694&lt;500000,"$200K–$500K",
     H694&gt;=500000,"$500K+")</f>
        <v>$200K–$500K</v>
      </c>
      <c r="J694" s="9" t="str">
        <f t="shared" si="50"/>
        <v>2020s</v>
      </c>
      <c r="K694">
        <f t="shared" si="51"/>
        <v>4.7764538140340158E-2</v>
      </c>
      <c r="L694">
        <f t="shared" si="52"/>
        <v>0.38337182448036949</v>
      </c>
      <c r="M694">
        <f t="shared" si="53"/>
        <v>0.63829787234042556</v>
      </c>
      <c r="N694">
        <f t="shared" si="54"/>
        <v>0.35647807832037842</v>
      </c>
    </row>
    <row r="695" spans="1:14">
      <c r="A695" t="s">
        <v>17</v>
      </c>
      <c r="B695" t="s">
        <v>91</v>
      </c>
      <c r="C695">
        <v>2021</v>
      </c>
      <c r="D695">
        <v>6.2</v>
      </c>
      <c r="E695">
        <v>650</v>
      </c>
      <c r="F695">
        <v>650</v>
      </c>
      <c r="G695">
        <v>3.5</v>
      </c>
      <c r="H695" s="4">
        <v>68000</v>
      </c>
      <c r="I695" s="8" t="str" cm="1">
        <f t="array" ref="I695">_xlfn.IFS(H695&lt;50000,"Under $50K", H695&lt;100000,"$50K–$100K",
     H695&lt;200000,"$100K–$200K", H695&lt;500000,"$200K–$500K",
     H695&gt;=500000,"$500K+")</f>
        <v>$50K–$100K</v>
      </c>
      <c r="J695" s="9" t="str">
        <f t="shared" si="50"/>
        <v>2020s</v>
      </c>
      <c r="K695">
        <f t="shared" si="51"/>
        <v>4.7764538140340158E-2</v>
      </c>
      <c r="L695">
        <f t="shared" si="52"/>
        <v>0.37528868360277134</v>
      </c>
      <c r="M695">
        <f t="shared" si="53"/>
        <v>0.63829787234042556</v>
      </c>
      <c r="N695">
        <f t="shared" si="54"/>
        <v>0.35378369802784571</v>
      </c>
    </row>
    <row r="696" spans="1:14">
      <c r="A696" t="s">
        <v>18</v>
      </c>
      <c r="B696" t="s">
        <v>71</v>
      </c>
      <c r="C696">
        <v>2021</v>
      </c>
      <c r="D696">
        <v>6.2</v>
      </c>
      <c r="E696">
        <v>717</v>
      </c>
      <c r="F696">
        <v>656</v>
      </c>
      <c r="G696">
        <v>3.5</v>
      </c>
      <c r="H696" s="4">
        <v>65000</v>
      </c>
      <c r="I696" s="8" t="str" cm="1">
        <f t="array" ref="I696">_xlfn.IFS(H696&lt;50000,"Under $50K", H696&lt;100000,"$50K–$100K",
     H696&lt;200000,"$100K–$200K", H696&lt;500000,"$200K–$500K",
     H696&gt;=500000,"$500K+")</f>
        <v>$50K–$100K</v>
      </c>
      <c r="J696" s="9" t="str">
        <f t="shared" si="50"/>
        <v>2020s</v>
      </c>
      <c r="K696">
        <f t="shared" si="51"/>
        <v>5.4588043588960182E-2</v>
      </c>
      <c r="L696">
        <f t="shared" si="52"/>
        <v>0.3787528868360277</v>
      </c>
      <c r="M696">
        <f t="shared" si="53"/>
        <v>0.63829787234042556</v>
      </c>
      <c r="N696">
        <f t="shared" si="54"/>
        <v>0.35721293425513778</v>
      </c>
    </row>
    <row r="697" spans="1:14">
      <c r="A697" t="s">
        <v>20</v>
      </c>
      <c r="B697" t="s">
        <v>92</v>
      </c>
      <c r="C697">
        <v>2021</v>
      </c>
      <c r="D697">
        <v>3.5</v>
      </c>
      <c r="E697">
        <v>660</v>
      </c>
      <c r="F697">
        <v>550</v>
      </c>
      <c r="G697">
        <v>2.9</v>
      </c>
      <c r="H697" s="4">
        <v>500000</v>
      </c>
      <c r="I697" s="8" t="str" cm="1">
        <f t="array" ref="I697">_xlfn.IFS(H697&lt;50000,"Under $50K", H697&lt;100000,"$50K–$100K",
     H697&lt;200000,"$100K–$200K", H697&lt;500000,"$200K–$500K",
     H697&gt;=500000,"$500K+")</f>
        <v>$500K+</v>
      </c>
      <c r="J697" s="9" t="str">
        <f t="shared" si="50"/>
        <v>2020s</v>
      </c>
      <c r="K697">
        <f t="shared" si="51"/>
        <v>4.8782971789387924E-2</v>
      </c>
      <c r="L697">
        <f t="shared" si="52"/>
        <v>0.31755196304849886</v>
      </c>
      <c r="M697">
        <f t="shared" si="53"/>
        <v>0.76595744680851063</v>
      </c>
      <c r="N697">
        <f t="shared" si="54"/>
        <v>0.37743079388213246</v>
      </c>
    </row>
    <row r="698" spans="1:14">
      <c r="A698" t="s">
        <v>25</v>
      </c>
      <c r="B698" t="s">
        <v>74</v>
      </c>
      <c r="C698">
        <v>2022</v>
      </c>
      <c r="D698">
        <v>5</v>
      </c>
      <c r="E698">
        <v>471</v>
      </c>
      <c r="F698">
        <v>398</v>
      </c>
      <c r="G698">
        <v>4.4000000000000004</v>
      </c>
      <c r="H698" s="4">
        <v>92000</v>
      </c>
      <c r="I698" s="8" t="str" cm="1">
        <f t="array" ref="I698">_xlfn.IFS(H698&lt;50000,"Under $50K", H698&lt;100000,"$50K–$100K",
     H698&lt;200000,"$100K–$200K", H698&lt;500000,"$200K–$500K",
     H698&gt;=500000,"$500K+")</f>
        <v>$50K–$100K</v>
      </c>
      <c r="J698" s="9" t="str">
        <f t="shared" si="50"/>
        <v>2020s</v>
      </c>
      <c r="K698">
        <f t="shared" si="51"/>
        <v>2.9534575822385171E-2</v>
      </c>
      <c r="L698">
        <f t="shared" si="52"/>
        <v>0.22979214780600463</v>
      </c>
      <c r="M698">
        <f t="shared" si="53"/>
        <v>0.44680851063829774</v>
      </c>
      <c r="N698">
        <f t="shared" si="54"/>
        <v>0.23537841142222918</v>
      </c>
    </row>
    <row r="699" spans="1:14">
      <c r="A699" t="s">
        <v>26</v>
      </c>
      <c r="B699" t="s">
        <v>191</v>
      </c>
      <c r="C699">
        <v>2022</v>
      </c>
      <c r="D699" t="s">
        <v>141</v>
      </c>
      <c r="E699">
        <v>1972</v>
      </c>
      <c r="F699">
        <v>1254</v>
      </c>
      <c r="G699">
        <v>2.5</v>
      </c>
      <c r="H699" s="4">
        <v>2700000</v>
      </c>
      <c r="I699" s="8" t="str" cm="1">
        <f t="array" ref="I699">_xlfn.IFS(H699&lt;50000,"Under $50K", H699&lt;100000,"$50K–$100K",
     H699&lt;200000,"$100K–$200K", H699&lt;500000,"$200K–$500K",
     H699&gt;=500000,"$500K+")</f>
        <v>$500K+</v>
      </c>
      <c r="J699" s="9" t="str">
        <f t="shared" si="50"/>
        <v>2020s</v>
      </c>
      <c r="K699">
        <f t="shared" si="51"/>
        <v>0.18240146654445463</v>
      </c>
      <c r="L699">
        <f t="shared" si="52"/>
        <v>0.72401847575057732</v>
      </c>
      <c r="M699">
        <f t="shared" si="53"/>
        <v>0.85106382978723405</v>
      </c>
      <c r="N699">
        <f t="shared" si="54"/>
        <v>0.58582792402742201</v>
      </c>
    </row>
    <row r="700" spans="1:14">
      <c r="A700" t="s">
        <v>30</v>
      </c>
      <c r="B700" t="s">
        <v>221</v>
      </c>
      <c r="C700">
        <v>2021</v>
      </c>
      <c r="D700">
        <v>4</v>
      </c>
      <c r="E700">
        <v>720</v>
      </c>
      <c r="F700">
        <v>590</v>
      </c>
      <c r="G700">
        <v>3.1</v>
      </c>
      <c r="H700" s="4">
        <v>330000</v>
      </c>
      <c r="I700" s="8" t="str" cm="1">
        <f t="array" ref="I700">_xlfn.IFS(H700&lt;50000,"Under $50K", H700&lt;100000,"$50K–$100K",
     H700&lt;200000,"$100K–$200K", H700&lt;500000,"$200K–$500K",
     H700&gt;=500000,"$500K+")</f>
        <v>$200K–$500K</v>
      </c>
      <c r="J700" s="9" t="str">
        <f t="shared" si="50"/>
        <v>2020s</v>
      </c>
      <c r="K700">
        <f t="shared" si="51"/>
        <v>5.4893573683674507E-2</v>
      </c>
      <c r="L700">
        <f t="shared" si="52"/>
        <v>0.34064665127020788</v>
      </c>
      <c r="M700">
        <f t="shared" si="53"/>
        <v>0.72340425531914887</v>
      </c>
      <c r="N700">
        <f t="shared" si="54"/>
        <v>0.37298149342434378</v>
      </c>
    </row>
    <row r="701" spans="1:14">
      <c r="A701" t="s">
        <v>12</v>
      </c>
      <c r="B701" t="s">
        <v>69</v>
      </c>
      <c r="C701">
        <v>2021</v>
      </c>
      <c r="D701">
        <v>4</v>
      </c>
      <c r="E701">
        <v>503</v>
      </c>
      <c r="F701">
        <v>513</v>
      </c>
      <c r="G701">
        <v>3.9</v>
      </c>
      <c r="H701" s="4">
        <v>205000</v>
      </c>
      <c r="I701" s="8" t="str" cm="1">
        <f t="array" ref="I701">_xlfn.IFS(H701&lt;50000,"Under $50K", H701&lt;100000,"$50K–$100K",
     H701&lt;200000,"$100K–$200K", H701&lt;500000,"$200K–$500K",
     H701&gt;=500000,"$500K+")</f>
        <v>$200K–$500K</v>
      </c>
      <c r="J701" s="9" t="str">
        <f t="shared" si="50"/>
        <v>2020s</v>
      </c>
      <c r="K701">
        <f t="shared" si="51"/>
        <v>3.279356349933802E-2</v>
      </c>
      <c r="L701">
        <f t="shared" si="52"/>
        <v>0.29618937644341803</v>
      </c>
      <c r="M701">
        <f t="shared" si="53"/>
        <v>0.55319148936170226</v>
      </c>
      <c r="N701">
        <f t="shared" si="54"/>
        <v>0.29405814310148609</v>
      </c>
    </row>
    <row r="702" spans="1:14">
      <c r="A702" t="s">
        <v>14</v>
      </c>
      <c r="B702" t="s">
        <v>80</v>
      </c>
      <c r="C702">
        <v>2022</v>
      </c>
      <c r="D702">
        <v>4</v>
      </c>
      <c r="E702">
        <v>542</v>
      </c>
      <c r="F702">
        <v>568</v>
      </c>
      <c r="G702">
        <v>3.9</v>
      </c>
      <c r="H702" s="4">
        <v>229000</v>
      </c>
      <c r="I702" s="8" t="str" cm="1">
        <f t="array" ref="I702">_xlfn.IFS(H702&lt;50000,"Under $50K", H702&lt;100000,"$50K–$100K",
     H702&lt;200000,"$100K–$200K", H702&lt;500000,"$200K–$500K",
     H702&gt;=500000,"$500K+")</f>
        <v>$200K–$500K</v>
      </c>
      <c r="J702" s="9" t="str">
        <f t="shared" si="50"/>
        <v>2020s</v>
      </c>
      <c r="K702">
        <f t="shared" si="51"/>
        <v>3.67654547306243E-2</v>
      </c>
      <c r="L702">
        <f t="shared" si="52"/>
        <v>0.32794457274826788</v>
      </c>
      <c r="M702">
        <f t="shared" si="53"/>
        <v>0.55319148936170226</v>
      </c>
      <c r="N702">
        <f t="shared" si="54"/>
        <v>0.30596717228019815</v>
      </c>
    </row>
    <row r="703" spans="1:14">
      <c r="A703" t="s">
        <v>21</v>
      </c>
      <c r="B703" t="s">
        <v>72</v>
      </c>
      <c r="C703">
        <v>2022</v>
      </c>
      <c r="D703">
        <v>2</v>
      </c>
      <c r="E703">
        <v>296</v>
      </c>
      <c r="F703">
        <v>295</v>
      </c>
      <c r="G703">
        <v>5.4</v>
      </c>
      <c r="H703" s="4">
        <v>62750</v>
      </c>
      <c r="I703" s="8" t="str" cm="1">
        <f t="array" ref="I703">_xlfn.IFS(H703&lt;50000,"Under $50K", H703&lt;100000,"$50K–$100K",
     H703&lt;200000,"$100K–$200K", H703&lt;500000,"$200K–$500K",
     H703&gt;=500000,"$500K+")</f>
        <v>$50K–$100K</v>
      </c>
      <c r="J703" s="9" t="str">
        <f t="shared" si="50"/>
        <v>2020s</v>
      </c>
      <c r="K703">
        <f t="shared" si="51"/>
        <v>1.1711986964049292E-2</v>
      </c>
      <c r="L703">
        <f t="shared" si="52"/>
        <v>0.17032332563510394</v>
      </c>
      <c r="M703">
        <f t="shared" si="53"/>
        <v>0.23404255319148926</v>
      </c>
      <c r="N703">
        <f t="shared" si="54"/>
        <v>0.13869262193021417</v>
      </c>
    </row>
    <row r="704" spans="1:14">
      <c r="A704" t="s">
        <v>26</v>
      </c>
      <c r="B704" t="s">
        <v>75</v>
      </c>
      <c r="C704">
        <v>2021</v>
      </c>
      <c r="D704">
        <v>3.5</v>
      </c>
      <c r="E704">
        <v>416</v>
      </c>
      <c r="F704">
        <v>317</v>
      </c>
      <c r="G704">
        <v>3.8</v>
      </c>
      <c r="H704" s="4">
        <v>100000</v>
      </c>
      <c r="I704" s="8" t="str" cm="1">
        <f t="array" ref="I704">_xlfn.IFS(H704&lt;50000,"Under $50K", H704&lt;100000,"$50K–$100K",
     H704&lt;200000,"$100K–$200K", H704&lt;500000,"$200K–$500K",
     H704&gt;=500000,"$500K+")</f>
        <v>$100K–$200K</v>
      </c>
      <c r="J704" s="9" t="str">
        <f t="shared" si="50"/>
        <v>2020s</v>
      </c>
      <c r="K704">
        <f t="shared" si="51"/>
        <v>2.3933190752622468E-2</v>
      </c>
      <c r="L704">
        <f t="shared" si="52"/>
        <v>0.18302540415704388</v>
      </c>
      <c r="M704">
        <f t="shared" si="53"/>
        <v>0.57446808510638303</v>
      </c>
      <c r="N704">
        <f t="shared" si="54"/>
        <v>0.26047556000534983</v>
      </c>
    </row>
    <row r="705" spans="1:14">
      <c r="A705" t="s">
        <v>27</v>
      </c>
      <c r="B705" t="s">
        <v>76</v>
      </c>
      <c r="C705">
        <v>2021</v>
      </c>
      <c r="D705">
        <v>4.7</v>
      </c>
      <c r="E705">
        <v>454</v>
      </c>
      <c r="F705">
        <v>384</v>
      </c>
      <c r="G705">
        <v>4.7</v>
      </c>
      <c r="H705" s="4">
        <v>135000</v>
      </c>
      <c r="I705" s="8" t="str" cm="1">
        <f t="array" ref="I705">_xlfn.IFS(H705&lt;50000,"Under $50K", H705&lt;100000,"$50K–$100K",
     H705&lt;200000,"$100K–$200K", H705&lt;500000,"$200K–$500K",
     H705&gt;=500000,"$500K+")</f>
        <v>$100K–$200K</v>
      </c>
      <c r="J705" s="9" t="str">
        <f t="shared" si="50"/>
        <v>2020s</v>
      </c>
      <c r="K705">
        <f t="shared" si="51"/>
        <v>2.7803238619003971E-2</v>
      </c>
      <c r="L705">
        <f t="shared" si="52"/>
        <v>0.22170900692840648</v>
      </c>
      <c r="M705">
        <f t="shared" si="53"/>
        <v>0.38297872340425532</v>
      </c>
      <c r="N705">
        <f t="shared" si="54"/>
        <v>0.2108303229838886</v>
      </c>
    </row>
    <row r="706" spans="1:14">
      <c r="A706" t="s">
        <v>36</v>
      </c>
      <c r="B706" t="s">
        <v>77</v>
      </c>
      <c r="C706">
        <v>2022</v>
      </c>
      <c r="D706">
        <v>2</v>
      </c>
      <c r="E706">
        <v>300</v>
      </c>
      <c r="F706">
        <v>280</v>
      </c>
      <c r="G706">
        <v>4.9000000000000004</v>
      </c>
      <c r="H706" s="4">
        <v>63000</v>
      </c>
      <c r="I706" s="8" t="str" cm="1">
        <f t="array" ref="I706">_xlfn.IFS(H706&lt;50000,"Under $50K", H706&lt;100000,"$50K–$100K",
     H706&lt;200000,"$100K–$200K", H706&lt;500000,"$200K–$500K",
     H706&gt;=500000,"$500K+")</f>
        <v>$50K–$100K</v>
      </c>
      <c r="J706" s="9" t="str">
        <f t="shared" si="50"/>
        <v>2020s</v>
      </c>
      <c r="K706">
        <f t="shared" si="51"/>
        <v>1.2119360423668398E-2</v>
      </c>
      <c r="L706">
        <f t="shared" si="52"/>
        <v>0.16166281755196305</v>
      </c>
      <c r="M706">
        <f t="shared" si="53"/>
        <v>0.34042553191489355</v>
      </c>
      <c r="N706">
        <f t="shared" si="54"/>
        <v>0.17140256996350833</v>
      </c>
    </row>
    <row r="707" spans="1:14">
      <c r="A707" t="s">
        <v>9</v>
      </c>
      <c r="B707" t="s">
        <v>161</v>
      </c>
      <c r="C707">
        <v>2020</v>
      </c>
      <c r="D707">
        <v>1.8</v>
      </c>
      <c r="E707">
        <v>237</v>
      </c>
      <c r="F707">
        <v>258</v>
      </c>
      <c r="G707">
        <v>4.2</v>
      </c>
      <c r="H707" s="4">
        <v>67150</v>
      </c>
      <c r="I707" s="8" t="str" cm="1">
        <f t="array" ref="I707">_xlfn.IFS(H707&lt;50000,"Under $50K", H707&lt;100000,"$50K–$100K",
     H707&lt;200000,"$100K–$200K", H707&lt;500000,"$200K–$500K",
     H707&gt;=500000,"$500K+")</f>
        <v>$50K–$100K</v>
      </c>
      <c r="J707" s="9" t="str">
        <f t="shared" ref="J707:J770" si="55">_xlfn.CONCAT(INT(C707/10)*10,"s")</f>
        <v>2020s</v>
      </c>
      <c r="K707">
        <f t="shared" ref="K707:K770" si="56">(E707-MIN($E$2:$E$1008))/(MAX($E$2:$E$1008)-MIN($E$2:$E$1008))</f>
        <v>5.7032284346674811E-3</v>
      </c>
      <c r="L707">
        <f t="shared" ref="L707:L770" si="57">(F707-MIN($F$2:$F$501))/(MAX($F$2:$F$501)-MIN($F$2:$F$501))</f>
        <v>0.1489607390300231</v>
      </c>
      <c r="M707">
        <f t="shared" ref="M707:M770" si="58">1-((G707-MIN($G$2:$G$501))/(MAX($G$2:$G$501)-MIN($G$2:$G$501)))</f>
        <v>0.4893617021276595</v>
      </c>
      <c r="N707">
        <f t="shared" ref="N707:N770" si="59">AVERAGE(K707,L707,M707)</f>
        <v>0.21467522319745003</v>
      </c>
    </row>
    <row r="708" spans="1:14">
      <c r="A708" t="s">
        <v>17</v>
      </c>
      <c r="B708" t="s">
        <v>215</v>
      </c>
      <c r="C708">
        <v>2022</v>
      </c>
      <c r="D708">
        <v>6.2</v>
      </c>
      <c r="E708">
        <v>455</v>
      </c>
      <c r="F708">
        <v>455</v>
      </c>
      <c r="G708">
        <v>4</v>
      </c>
      <c r="H708" s="4">
        <v>62195</v>
      </c>
      <c r="I708" s="8" t="str" cm="1">
        <f t="array" ref="I708">_xlfn.IFS(H708&lt;50000,"Under $50K", H708&lt;100000,"$50K–$100K",
     H708&lt;200000,"$100K–$200K", H708&lt;500000,"$200K–$500K",
     H708&gt;=500000,"$500K+")</f>
        <v>$50K–$100K</v>
      </c>
      <c r="J708" s="9" t="str">
        <f t="shared" si="55"/>
        <v>2020s</v>
      </c>
      <c r="K708">
        <f t="shared" si="56"/>
        <v>2.7905081983908748E-2</v>
      </c>
      <c r="L708">
        <f t="shared" si="57"/>
        <v>0.26270207852193994</v>
      </c>
      <c r="M708">
        <f t="shared" si="58"/>
        <v>0.53191489361702127</v>
      </c>
      <c r="N708">
        <f t="shared" si="59"/>
        <v>0.27417401804095665</v>
      </c>
    </row>
    <row r="709" spans="1:14">
      <c r="A709" t="s">
        <v>18</v>
      </c>
      <c r="B709" t="s">
        <v>227</v>
      </c>
      <c r="C709">
        <v>2022</v>
      </c>
      <c r="D709">
        <v>3.6</v>
      </c>
      <c r="E709">
        <v>305</v>
      </c>
      <c r="F709">
        <v>268</v>
      </c>
      <c r="G709">
        <v>6.4</v>
      </c>
      <c r="H709" s="4">
        <v>28000</v>
      </c>
      <c r="I709" s="8" t="str" cm="1">
        <f t="array" ref="I709">_xlfn.IFS(H709&lt;50000,"Under $50K", H709&lt;100000,"$50K–$100K",
     H709&lt;200000,"$100K–$200K", H709&lt;500000,"$200K–$500K",
     H709&gt;=500000,"$500K+")</f>
        <v>Under $50K</v>
      </c>
      <c r="J709" s="9" t="str">
        <f t="shared" si="55"/>
        <v>2020s</v>
      </c>
      <c r="K709">
        <f t="shared" si="56"/>
        <v>1.2628577248192279E-2</v>
      </c>
      <c r="L709">
        <f t="shared" si="57"/>
        <v>0.15473441108545036</v>
      </c>
      <c r="M709">
        <f t="shared" si="58"/>
        <v>2.1276595744680771E-2</v>
      </c>
      <c r="N709">
        <f t="shared" si="59"/>
        <v>6.2879861359441139E-2</v>
      </c>
    </row>
    <row r="710" spans="1:14">
      <c r="A710" t="s">
        <v>20</v>
      </c>
      <c r="B710" t="s">
        <v>92</v>
      </c>
      <c r="C710">
        <v>2022</v>
      </c>
      <c r="D710">
        <v>3.5</v>
      </c>
      <c r="E710">
        <v>660</v>
      </c>
      <c r="F710">
        <v>550</v>
      </c>
      <c r="G710">
        <v>2.9</v>
      </c>
      <c r="H710" s="4">
        <v>500000</v>
      </c>
      <c r="I710" s="8" t="str" cm="1">
        <f t="array" ref="I710">_xlfn.IFS(H710&lt;50000,"Under $50K", H710&lt;100000,"$50K–$100K",
     H710&lt;200000,"$100K–$200K", H710&lt;500000,"$200K–$500K",
     H710&gt;=500000,"$500K+")</f>
        <v>$500K+</v>
      </c>
      <c r="J710" s="9" t="str">
        <f t="shared" si="55"/>
        <v>2020s</v>
      </c>
      <c r="K710">
        <f t="shared" si="56"/>
        <v>4.8782971789387924E-2</v>
      </c>
      <c r="L710">
        <f t="shared" si="57"/>
        <v>0.31755196304849886</v>
      </c>
      <c r="M710">
        <f t="shared" si="58"/>
        <v>0.76595744680851063</v>
      </c>
      <c r="N710">
        <f t="shared" si="59"/>
        <v>0.37743079388213246</v>
      </c>
    </row>
    <row r="711" spans="1:14">
      <c r="A711" t="s">
        <v>13</v>
      </c>
      <c r="B711" t="s">
        <v>89</v>
      </c>
      <c r="C711">
        <v>2022</v>
      </c>
      <c r="D711">
        <v>4</v>
      </c>
      <c r="E711">
        <v>591</v>
      </c>
      <c r="F711">
        <v>590</v>
      </c>
      <c r="G711">
        <v>3.5</v>
      </c>
      <c r="H711" s="4">
        <v>115045</v>
      </c>
      <c r="I711" s="8" t="str" cm="1">
        <f t="array" ref="I711">_xlfn.IFS(H711&lt;50000,"Under $50K", H711&lt;100000,"$50K–$100K",
     H711&lt;200000,"$100K–$200K", H711&lt;500000,"$200K–$500K",
     H711&gt;=500000,"$500K+")</f>
        <v>$100K–$200K</v>
      </c>
      <c r="J711" s="9" t="str">
        <f t="shared" si="55"/>
        <v>2020s</v>
      </c>
      <c r="K711">
        <f t="shared" si="56"/>
        <v>4.1755779610958346E-2</v>
      </c>
      <c r="L711">
        <f t="shared" si="57"/>
        <v>0.34064665127020788</v>
      </c>
      <c r="M711">
        <f t="shared" si="58"/>
        <v>0.63829787234042556</v>
      </c>
      <c r="N711">
        <f t="shared" si="59"/>
        <v>0.34023343440719728</v>
      </c>
    </row>
    <row r="712" spans="1:14">
      <c r="A712" t="s">
        <v>15</v>
      </c>
      <c r="B712" t="s">
        <v>90</v>
      </c>
      <c r="C712">
        <v>2022</v>
      </c>
      <c r="D712">
        <v>3</v>
      </c>
      <c r="E712">
        <v>473</v>
      </c>
      <c r="F712">
        <v>406</v>
      </c>
      <c r="G712">
        <v>4.0999999999999996</v>
      </c>
      <c r="H712" s="4">
        <v>71800</v>
      </c>
      <c r="I712" s="8" t="str" cm="1">
        <f t="array" ref="I712">_xlfn.IFS(H712&lt;50000,"Under $50K", H712&lt;100000,"$50K–$100K",
     H712&lt;200000,"$100K–$200K", H712&lt;500000,"$200K–$500K",
     H712&gt;=500000,"$500K+")</f>
        <v>$50K–$100K</v>
      </c>
      <c r="J712" s="9" t="str">
        <f t="shared" si="55"/>
        <v>2020s</v>
      </c>
      <c r="K712">
        <f t="shared" si="56"/>
        <v>2.9738262552194725E-2</v>
      </c>
      <c r="L712">
        <f t="shared" si="57"/>
        <v>0.23441108545034642</v>
      </c>
      <c r="M712">
        <f t="shared" si="58"/>
        <v>0.5106382978723405</v>
      </c>
      <c r="N712">
        <f t="shared" si="59"/>
        <v>0.25826254862496056</v>
      </c>
    </row>
    <row r="713" spans="1:14">
      <c r="A713" t="s">
        <v>24</v>
      </c>
      <c r="B713" t="s">
        <v>115</v>
      </c>
      <c r="C713">
        <v>2021</v>
      </c>
      <c r="D713">
        <v>6.5</v>
      </c>
      <c r="E713">
        <v>729</v>
      </c>
      <c r="F713">
        <v>507</v>
      </c>
      <c r="G713">
        <v>2.9</v>
      </c>
      <c r="H713" s="4">
        <v>393695</v>
      </c>
      <c r="I713" s="8" t="str" cm="1">
        <f t="array" ref="I713">_xlfn.IFS(H713&lt;50000,"Under $50K", H713&lt;100000,"$50K–$100K",
     H713&lt;200000,"$100K–$200K", H713&lt;500000,"$200K–$500K",
     H713&gt;=500000,"$500K+")</f>
        <v>$200K–$500K</v>
      </c>
      <c r="J713" s="9" t="str">
        <f t="shared" si="55"/>
        <v>2020s</v>
      </c>
      <c r="K713">
        <f t="shared" si="56"/>
        <v>5.5810163967817496E-2</v>
      </c>
      <c r="L713">
        <f t="shared" si="57"/>
        <v>0.29272517321016167</v>
      </c>
      <c r="M713">
        <f t="shared" si="58"/>
        <v>0.76595744680851063</v>
      </c>
      <c r="N713">
        <f t="shared" si="59"/>
        <v>0.37149759466216326</v>
      </c>
    </row>
    <row r="714" spans="1:14">
      <c r="A714" t="s">
        <v>31</v>
      </c>
      <c r="B714" t="s">
        <v>149</v>
      </c>
      <c r="C714">
        <v>2021</v>
      </c>
      <c r="D714">
        <v>4</v>
      </c>
      <c r="E714">
        <v>469</v>
      </c>
      <c r="F714">
        <v>479</v>
      </c>
      <c r="G714">
        <v>3.8</v>
      </c>
      <c r="H714" s="4">
        <v>69900</v>
      </c>
      <c r="I714" s="8" t="str" cm="1">
        <f t="array" ref="I714">_xlfn.IFS(H714&lt;50000,"Under $50K", H714&lt;100000,"$50K–$100K",
     H714&lt;200000,"$100K–$200K", H714&lt;500000,"$200K–$500K",
     H714&gt;=500000,"$500K+")</f>
        <v>$50K–$100K</v>
      </c>
      <c r="J714" s="9" t="str">
        <f t="shared" si="55"/>
        <v>2020s</v>
      </c>
      <c r="K714">
        <f t="shared" si="56"/>
        <v>2.933088909257562E-2</v>
      </c>
      <c r="L714">
        <f t="shared" si="57"/>
        <v>0.27655889145496537</v>
      </c>
      <c r="M714">
        <f t="shared" si="58"/>
        <v>0.57446808510638303</v>
      </c>
      <c r="N714">
        <f t="shared" si="59"/>
        <v>0.29345262188464133</v>
      </c>
    </row>
    <row r="715" spans="1:14">
      <c r="A715" t="s">
        <v>32</v>
      </c>
      <c r="B715" t="s">
        <v>117</v>
      </c>
      <c r="C715">
        <v>2021</v>
      </c>
      <c r="D715">
        <v>3.7</v>
      </c>
      <c r="E715">
        <v>350</v>
      </c>
      <c r="F715">
        <v>276</v>
      </c>
      <c r="G715">
        <v>5.3</v>
      </c>
      <c r="H715" s="4">
        <v>30090</v>
      </c>
      <c r="I715" s="8" t="str" cm="1">
        <f t="array" ref="I715">_xlfn.IFS(H715&lt;50000,"Under $50K", H715&lt;100000,"$50K–$100K",
     H715&lt;200000,"$100K–$200K", H715&lt;500000,"$200K–$500K",
     H715&gt;=500000,"$500K+")</f>
        <v>Under $50K</v>
      </c>
      <c r="J715" s="9" t="str">
        <f t="shared" si="55"/>
        <v>2020s</v>
      </c>
      <c r="K715">
        <f t="shared" si="56"/>
        <v>1.7211528668907222E-2</v>
      </c>
      <c r="L715">
        <f t="shared" si="57"/>
        <v>0.15935334872979215</v>
      </c>
      <c r="M715">
        <f t="shared" si="58"/>
        <v>0.25531914893617025</v>
      </c>
      <c r="N715">
        <f t="shared" si="59"/>
        <v>0.1439613421116232</v>
      </c>
    </row>
    <row r="716" spans="1:14">
      <c r="A716" t="s">
        <v>36</v>
      </c>
      <c r="B716" t="s">
        <v>102</v>
      </c>
      <c r="C716">
        <v>2022</v>
      </c>
      <c r="D716">
        <v>2</v>
      </c>
      <c r="E716">
        <v>300</v>
      </c>
      <c r="F716">
        <v>280</v>
      </c>
      <c r="G716">
        <v>4.9000000000000004</v>
      </c>
      <c r="H716" s="4">
        <v>68000</v>
      </c>
      <c r="I716" s="8" t="str" cm="1">
        <f t="array" ref="I716">_xlfn.IFS(H716&lt;50000,"Under $50K", H716&lt;100000,"$50K–$100K",
     H716&lt;200000,"$100K–$200K", H716&lt;500000,"$200K–$500K",
     H716&gt;=500000,"$500K+")</f>
        <v>$50K–$100K</v>
      </c>
      <c r="J716" s="9" t="str">
        <f t="shared" si="55"/>
        <v>2020s</v>
      </c>
      <c r="K716">
        <f t="shared" si="56"/>
        <v>1.2119360423668398E-2</v>
      </c>
      <c r="L716">
        <f t="shared" si="57"/>
        <v>0.16166281755196305</v>
      </c>
      <c r="M716">
        <f t="shared" si="58"/>
        <v>0.34042553191489355</v>
      </c>
      <c r="N716">
        <f t="shared" si="59"/>
        <v>0.17140256996350833</v>
      </c>
    </row>
    <row r="717" spans="1:14">
      <c r="A717" t="s">
        <v>15</v>
      </c>
      <c r="B717" t="s">
        <v>99</v>
      </c>
      <c r="C717">
        <v>2022</v>
      </c>
      <c r="D717">
        <v>1.5</v>
      </c>
      <c r="E717">
        <v>369</v>
      </c>
      <c r="F717">
        <v>184</v>
      </c>
      <c r="G717">
        <v>4.2</v>
      </c>
      <c r="H717" s="4">
        <v>147500</v>
      </c>
      <c r="I717" s="8" t="str" cm="1">
        <f t="array" ref="I717">_xlfn.IFS(H717&lt;50000,"Under $50K", H717&lt;100000,"$50K–$100K",
     H717&lt;200000,"$100K–$200K", H717&lt;500000,"$200K–$500K",
     H717&gt;=500000,"$500K+")</f>
        <v>$100K–$200K</v>
      </c>
      <c r="J717" s="9" t="str">
        <f t="shared" si="55"/>
        <v>2020s</v>
      </c>
      <c r="K717">
        <f t="shared" si="56"/>
        <v>1.9146552602097973E-2</v>
      </c>
      <c r="L717">
        <f t="shared" si="57"/>
        <v>0.10623556581986143</v>
      </c>
      <c r="M717">
        <f t="shared" si="58"/>
        <v>0.4893617021276595</v>
      </c>
      <c r="N717">
        <f t="shared" si="59"/>
        <v>0.20491460684987298</v>
      </c>
    </row>
    <row r="718" spans="1:14">
      <c r="A718" t="s">
        <v>17</v>
      </c>
      <c r="B718" t="s">
        <v>119</v>
      </c>
      <c r="C718">
        <v>2021</v>
      </c>
      <c r="D718">
        <v>6.2</v>
      </c>
      <c r="E718">
        <v>495</v>
      </c>
      <c r="F718">
        <v>470</v>
      </c>
      <c r="G718">
        <v>2.9</v>
      </c>
      <c r="H718" s="4">
        <v>58900</v>
      </c>
      <c r="I718" s="8" t="str" cm="1">
        <f t="array" ref="I718">_xlfn.IFS(H718&lt;50000,"Under $50K", H718&lt;100000,"$50K–$100K",
     H718&lt;200000,"$100K–$200K", H718&lt;500000,"$200K–$500K",
     H718&gt;=500000,"$500K+")</f>
        <v>$50K–$100K</v>
      </c>
      <c r="J718" s="9" t="str">
        <f t="shared" si="55"/>
        <v>2020s</v>
      </c>
      <c r="K718">
        <f t="shared" si="56"/>
        <v>3.1978816580099809E-2</v>
      </c>
      <c r="L718">
        <f t="shared" si="57"/>
        <v>0.27136258660508084</v>
      </c>
      <c r="M718">
        <f t="shared" si="58"/>
        <v>0.76595744680851063</v>
      </c>
      <c r="N718">
        <f t="shared" si="59"/>
        <v>0.3564329499978971</v>
      </c>
    </row>
    <row r="719" spans="1:14">
      <c r="A719" t="s">
        <v>36</v>
      </c>
      <c r="B719" t="s">
        <v>156</v>
      </c>
      <c r="C719">
        <v>2022</v>
      </c>
      <c r="D719" t="s">
        <v>85</v>
      </c>
      <c r="E719">
        <v>750</v>
      </c>
      <c r="F719">
        <v>774</v>
      </c>
      <c r="G719">
        <v>2.6</v>
      </c>
      <c r="H719" s="4">
        <v>185000</v>
      </c>
      <c r="I719" s="8" t="str" cm="1">
        <f t="array" ref="I719">_xlfn.IFS(H719&lt;50000,"Under $50K", H719&lt;100000,"$50K–$100K",
     H719&lt;200000,"$100K–$200K", H719&lt;500000,"$200K–$500K",
     H719&gt;=500000,"$500K+")</f>
        <v>$100K–$200K</v>
      </c>
      <c r="J719" s="9" t="str">
        <f t="shared" si="55"/>
        <v>2020s</v>
      </c>
      <c r="K719">
        <f t="shared" si="56"/>
        <v>5.7948874630817805E-2</v>
      </c>
      <c r="L719">
        <f t="shared" si="57"/>
        <v>0.44688221709006931</v>
      </c>
      <c r="M719">
        <f t="shared" si="58"/>
        <v>0.82978723404255317</v>
      </c>
      <c r="N719">
        <f t="shared" si="59"/>
        <v>0.4448727752544801</v>
      </c>
    </row>
    <row r="720" spans="1:14">
      <c r="A720" t="s">
        <v>24</v>
      </c>
      <c r="B720" t="s">
        <v>153</v>
      </c>
      <c r="C720">
        <v>2021</v>
      </c>
      <c r="D720">
        <v>6.5</v>
      </c>
      <c r="E720">
        <v>729</v>
      </c>
      <c r="F720">
        <v>507</v>
      </c>
      <c r="G720">
        <v>2.9</v>
      </c>
      <c r="H720" s="4">
        <v>417650</v>
      </c>
      <c r="I720" s="8" t="str" cm="1">
        <f t="array" ref="I720">_xlfn.IFS(H720&lt;50000,"Under $50K", H720&lt;100000,"$50K–$100K",
     H720&lt;200000,"$100K–$200K", H720&lt;500000,"$200K–$500K",
     H720&gt;=500000,"$500K+")</f>
        <v>$200K–$500K</v>
      </c>
      <c r="J720" s="9" t="str">
        <f t="shared" si="55"/>
        <v>2020s</v>
      </c>
      <c r="K720">
        <f t="shared" si="56"/>
        <v>5.5810163967817496E-2</v>
      </c>
      <c r="L720">
        <f t="shared" si="57"/>
        <v>0.29272517321016167</v>
      </c>
      <c r="M720">
        <f t="shared" si="58"/>
        <v>0.76595744680851063</v>
      </c>
      <c r="N720">
        <f t="shared" si="59"/>
        <v>0.37149759466216326</v>
      </c>
    </row>
    <row r="721" spans="1:14">
      <c r="A721" t="s">
        <v>19</v>
      </c>
      <c r="B721" t="s">
        <v>88</v>
      </c>
      <c r="C721">
        <v>2022</v>
      </c>
      <c r="D721">
        <v>4</v>
      </c>
      <c r="E721">
        <v>986</v>
      </c>
      <c r="F721">
        <v>590</v>
      </c>
      <c r="G721">
        <v>2.5</v>
      </c>
      <c r="H721" s="4">
        <v>625000</v>
      </c>
      <c r="I721" s="8" t="str" cm="1">
        <f t="array" ref="I721">_xlfn.IFS(H721&lt;50000,"Under $50K", H721&lt;100000,"$50K–$100K",
     H721&lt;200000,"$100K–$200K", H721&lt;500000,"$200K–$500K",
     H721&gt;=500000,"$500K+")</f>
        <v>$500K+</v>
      </c>
      <c r="J721" s="9" t="str">
        <f t="shared" si="55"/>
        <v>2020s</v>
      </c>
      <c r="K721">
        <f t="shared" si="56"/>
        <v>8.1983908748345047E-2</v>
      </c>
      <c r="L721">
        <f t="shared" si="57"/>
        <v>0.34064665127020788</v>
      </c>
      <c r="M721">
        <f t="shared" si="58"/>
        <v>0.85106382978723405</v>
      </c>
      <c r="N721">
        <f t="shared" si="59"/>
        <v>0.42456479660192903</v>
      </c>
    </row>
    <row r="722" spans="1:14">
      <c r="A722" t="s">
        <v>13</v>
      </c>
      <c r="B722" t="s">
        <v>89</v>
      </c>
      <c r="C722">
        <v>2022</v>
      </c>
      <c r="D722">
        <v>4</v>
      </c>
      <c r="E722">
        <v>591</v>
      </c>
      <c r="F722">
        <v>590</v>
      </c>
      <c r="G722">
        <v>3.5</v>
      </c>
      <c r="H722" s="4">
        <v>115000</v>
      </c>
      <c r="I722" s="8" t="str" cm="1">
        <f t="array" ref="I722">_xlfn.IFS(H722&lt;50000,"Under $50K", H722&lt;100000,"$50K–$100K",
     H722&lt;200000,"$100K–$200K", H722&lt;500000,"$200K–$500K",
     H722&gt;=500000,"$500K+")</f>
        <v>$100K–$200K</v>
      </c>
      <c r="J722" s="9" t="str">
        <f t="shared" si="55"/>
        <v>2020s</v>
      </c>
      <c r="K722">
        <f t="shared" si="56"/>
        <v>4.1755779610958346E-2</v>
      </c>
      <c r="L722">
        <f t="shared" si="57"/>
        <v>0.34064665127020788</v>
      </c>
      <c r="M722">
        <f t="shared" si="58"/>
        <v>0.63829787234042556</v>
      </c>
      <c r="N722">
        <f t="shared" si="59"/>
        <v>0.34023343440719728</v>
      </c>
    </row>
    <row r="723" spans="1:14">
      <c r="A723" t="s">
        <v>29</v>
      </c>
      <c r="B723" t="s">
        <v>92</v>
      </c>
      <c r="C723">
        <v>2022</v>
      </c>
      <c r="D723">
        <v>4</v>
      </c>
      <c r="E723">
        <v>620</v>
      </c>
      <c r="F723">
        <v>465</v>
      </c>
      <c r="G723">
        <v>3.1</v>
      </c>
      <c r="H723" s="4">
        <v>208000</v>
      </c>
      <c r="I723" s="8" t="str" cm="1">
        <f t="array" ref="I723">_xlfn.IFS(H723&lt;50000,"Under $50K", H723&lt;100000,"$50K–$100K",
     H723&lt;200000,"$100K–$200K", H723&lt;500000,"$200K–$500K",
     H723&gt;=500000,"$500K+")</f>
        <v>$200K–$500K</v>
      </c>
      <c r="J723" s="9" t="str">
        <f t="shared" si="55"/>
        <v>2020s</v>
      </c>
      <c r="K723">
        <f t="shared" si="56"/>
        <v>4.470923719319686E-2</v>
      </c>
      <c r="L723">
        <f t="shared" si="57"/>
        <v>0.26847575057736722</v>
      </c>
      <c r="M723">
        <f t="shared" si="58"/>
        <v>0.72340425531914887</v>
      </c>
      <c r="N723">
        <f t="shared" si="59"/>
        <v>0.34552974769657102</v>
      </c>
    </row>
    <row r="724" spans="1:14">
      <c r="A724" t="s">
        <v>15</v>
      </c>
      <c r="B724" t="s">
        <v>111</v>
      </c>
      <c r="C724">
        <v>2022</v>
      </c>
      <c r="D724">
        <v>4.4000000000000004</v>
      </c>
      <c r="E724">
        <v>600</v>
      </c>
      <c r="F724">
        <v>553</v>
      </c>
      <c r="G724">
        <v>3.2</v>
      </c>
      <c r="H724" s="4">
        <v>103500</v>
      </c>
      <c r="I724" s="8" t="str" cm="1">
        <f t="array" ref="I724">_xlfn.IFS(H724&lt;50000,"Under $50K", H724&lt;100000,"$50K–$100K",
     H724&lt;200000,"$100K–$200K", H724&lt;500000,"$200K–$500K",
     H724&gt;=500000,"$500K+")</f>
        <v>$100K–$200K</v>
      </c>
      <c r="J724" s="9" t="str">
        <f t="shared" si="55"/>
        <v>2020s</v>
      </c>
      <c r="K724">
        <f t="shared" si="56"/>
        <v>4.2672369895101335E-2</v>
      </c>
      <c r="L724">
        <f t="shared" si="57"/>
        <v>0.31928406466512704</v>
      </c>
      <c r="M724">
        <f t="shared" si="58"/>
        <v>0.7021276595744681</v>
      </c>
      <c r="N724">
        <f t="shared" si="59"/>
        <v>0.35469469804489884</v>
      </c>
    </row>
    <row r="725" spans="1:14">
      <c r="A725" t="s">
        <v>31</v>
      </c>
      <c r="B725" t="s">
        <v>82</v>
      </c>
      <c r="C725">
        <v>2021</v>
      </c>
      <c r="D725">
        <v>4</v>
      </c>
      <c r="E725">
        <v>730</v>
      </c>
      <c r="F725">
        <v>590</v>
      </c>
      <c r="G725">
        <v>2.9</v>
      </c>
      <c r="H725" s="4">
        <v>250000</v>
      </c>
      <c r="I725" s="8" t="str" cm="1">
        <f t="array" ref="I725">_xlfn.IFS(H725&lt;50000,"Under $50K", H725&lt;100000,"$50K–$100K",
     H725&lt;200000,"$100K–$200K", H725&lt;500000,"$200K–$500K",
     H725&gt;=500000,"$500K+")</f>
        <v>$200K–$500K</v>
      </c>
      <c r="J725" s="9" t="str">
        <f t="shared" si="55"/>
        <v>2020s</v>
      </c>
      <c r="K725">
        <f t="shared" si="56"/>
        <v>5.5912007332722273E-2</v>
      </c>
      <c r="L725">
        <f t="shared" si="57"/>
        <v>0.34064665127020788</v>
      </c>
      <c r="M725">
        <f t="shared" si="58"/>
        <v>0.76595744680851063</v>
      </c>
      <c r="N725">
        <f t="shared" si="59"/>
        <v>0.38750536847048028</v>
      </c>
    </row>
    <row r="726" spans="1:14">
      <c r="A726" t="s">
        <v>17</v>
      </c>
      <c r="B726" t="s">
        <v>91</v>
      </c>
      <c r="C726">
        <v>2021</v>
      </c>
      <c r="D726">
        <v>6.2</v>
      </c>
      <c r="E726">
        <v>650</v>
      </c>
      <c r="F726">
        <v>650</v>
      </c>
      <c r="G726">
        <v>3.5</v>
      </c>
      <c r="H726" s="4">
        <v>63000</v>
      </c>
      <c r="I726" s="8" t="str" cm="1">
        <f t="array" ref="I726">_xlfn.IFS(H726&lt;50000,"Under $50K", H726&lt;100000,"$50K–$100K",
     H726&lt;200000,"$100K–$200K", H726&lt;500000,"$200K–$500K",
     H726&gt;=500000,"$500K+")</f>
        <v>$50K–$100K</v>
      </c>
      <c r="J726" s="9" t="str">
        <f t="shared" si="55"/>
        <v>2020s</v>
      </c>
      <c r="K726">
        <f t="shared" si="56"/>
        <v>4.7764538140340158E-2</v>
      </c>
      <c r="L726">
        <f t="shared" si="57"/>
        <v>0.37528868360277134</v>
      </c>
      <c r="M726">
        <f t="shared" si="58"/>
        <v>0.63829787234042556</v>
      </c>
      <c r="N726">
        <f t="shared" si="59"/>
        <v>0.35378369802784571</v>
      </c>
    </row>
    <row r="727" spans="1:14">
      <c r="A727" t="s">
        <v>20</v>
      </c>
      <c r="B727" t="s">
        <v>92</v>
      </c>
      <c r="C727">
        <v>2022</v>
      </c>
      <c r="D727">
        <v>3.5</v>
      </c>
      <c r="E727">
        <v>660</v>
      </c>
      <c r="F727">
        <v>550</v>
      </c>
      <c r="G727">
        <v>2.8</v>
      </c>
      <c r="H727" s="4">
        <v>500000</v>
      </c>
      <c r="I727" s="8" t="str" cm="1">
        <f t="array" ref="I727">_xlfn.IFS(H727&lt;50000,"Under $50K", H727&lt;100000,"$50K–$100K",
     H727&lt;200000,"$100K–$200K", H727&lt;500000,"$200K–$500K",
     H727&gt;=500000,"$500K+")</f>
        <v>$500K+</v>
      </c>
      <c r="J727" s="9" t="str">
        <f t="shared" si="55"/>
        <v>2020s</v>
      </c>
      <c r="K727">
        <f t="shared" si="56"/>
        <v>4.8782971789387924E-2</v>
      </c>
      <c r="L727">
        <f t="shared" si="57"/>
        <v>0.31755196304849886</v>
      </c>
      <c r="M727">
        <f t="shared" si="58"/>
        <v>0.78723404255319152</v>
      </c>
      <c r="N727">
        <f t="shared" si="59"/>
        <v>0.38452299246369276</v>
      </c>
    </row>
    <row r="728" spans="1:14">
      <c r="A728" t="s">
        <v>32</v>
      </c>
      <c r="B728" t="s">
        <v>93</v>
      </c>
      <c r="C728">
        <v>2021</v>
      </c>
      <c r="D728">
        <v>3.7</v>
      </c>
      <c r="E728">
        <v>350</v>
      </c>
      <c r="F728">
        <v>276</v>
      </c>
      <c r="G728">
        <v>5</v>
      </c>
      <c r="H728" s="4">
        <v>46100</v>
      </c>
      <c r="I728" s="8" t="str" cm="1">
        <f t="array" ref="I728">_xlfn.IFS(H728&lt;50000,"Under $50K", H728&lt;100000,"$50K–$100K",
     H728&lt;200000,"$100K–$200K", H728&lt;500000,"$200K–$500K",
     H728&gt;=500000,"$500K+")</f>
        <v>Under $50K</v>
      </c>
      <c r="J728" s="9" t="str">
        <f t="shared" si="55"/>
        <v>2020s</v>
      </c>
      <c r="K728">
        <f t="shared" si="56"/>
        <v>1.7211528668907222E-2</v>
      </c>
      <c r="L728">
        <f t="shared" si="57"/>
        <v>0.15935334872979215</v>
      </c>
      <c r="M728">
        <f t="shared" si="58"/>
        <v>0.31914893617021278</v>
      </c>
      <c r="N728">
        <f t="shared" si="59"/>
        <v>0.16523793785630406</v>
      </c>
    </row>
    <row r="729" spans="1:14">
      <c r="A729" t="s">
        <v>36</v>
      </c>
      <c r="B729" t="s">
        <v>135</v>
      </c>
      <c r="C729">
        <v>2022</v>
      </c>
      <c r="D729">
        <v>4</v>
      </c>
      <c r="E729">
        <v>630</v>
      </c>
      <c r="F729">
        <v>604</v>
      </c>
      <c r="G729">
        <v>3.1</v>
      </c>
      <c r="H729" s="4">
        <v>180000</v>
      </c>
      <c r="I729" s="8" t="str" cm="1">
        <f t="array" ref="I729">_xlfn.IFS(H729&lt;50000,"Under $50K", H729&lt;100000,"$50K–$100K",
     H729&lt;200000,"$100K–$200K", H729&lt;500000,"$200K–$500K",
     H729&gt;=500000,"$500K+")</f>
        <v>$100K–$200K</v>
      </c>
      <c r="J729" s="9" t="str">
        <f t="shared" si="55"/>
        <v>2020s</v>
      </c>
      <c r="K729">
        <f t="shared" si="56"/>
        <v>4.5727670842244626E-2</v>
      </c>
      <c r="L729">
        <f t="shared" si="57"/>
        <v>0.34872979214780603</v>
      </c>
      <c r="M729">
        <f t="shared" si="58"/>
        <v>0.72340425531914887</v>
      </c>
      <c r="N729">
        <f t="shared" si="59"/>
        <v>0.37262057276973315</v>
      </c>
    </row>
    <row r="730" spans="1:14">
      <c r="A730" t="s">
        <v>24</v>
      </c>
      <c r="B730" t="s">
        <v>96</v>
      </c>
      <c r="C730">
        <v>2021</v>
      </c>
      <c r="D730">
        <v>4</v>
      </c>
      <c r="E730">
        <v>641</v>
      </c>
      <c r="F730">
        <v>627</v>
      </c>
      <c r="G730">
        <v>3.2</v>
      </c>
      <c r="H730" s="4">
        <v>218000</v>
      </c>
      <c r="I730" s="8" t="str" cm="1">
        <f t="array" ref="I730">_xlfn.IFS(H730&lt;50000,"Under $50K", H730&lt;100000,"$50K–$100K",
     H730&lt;200000,"$100K–$200K", H730&lt;500000,"$200K–$500K",
     H730&gt;=500000,"$500K+")</f>
        <v>$200K–$500K</v>
      </c>
      <c r="J730" s="9" t="str">
        <f t="shared" si="55"/>
        <v>2020s</v>
      </c>
      <c r="K730">
        <f t="shared" si="56"/>
        <v>4.684794785619717E-2</v>
      </c>
      <c r="L730">
        <f t="shared" si="57"/>
        <v>0.36200923787528866</v>
      </c>
      <c r="M730">
        <f t="shared" si="58"/>
        <v>0.7021276595744681</v>
      </c>
      <c r="N730">
        <f t="shared" si="59"/>
        <v>0.37032828176865129</v>
      </c>
    </row>
    <row r="731" spans="1:14">
      <c r="A731" t="s">
        <v>19</v>
      </c>
      <c r="B731" t="s">
        <v>134</v>
      </c>
      <c r="C731">
        <v>2022</v>
      </c>
      <c r="D731">
        <v>3.9</v>
      </c>
      <c r="E731">
        <v>591</v>
      </c>
      <c r="F731">
        <v>561</v>
      </c>
      <c r="G731">
        <v>3.4</v>
      </c>
      <c r="H731" s="4">
        <v>250000</v>
      </c>
      <c r="I731" s="8" t="str" cm="1">
        <f t="array" ref="I731">_xlfn.IFS(H731&lt;50000,"Under $50K", H731&lt;100000,"$50K–$100K",
     H731&lt;200000,"$100K–$200K", H731&lt;500000,"$200K–$500K",
     H731&gt;=500000,"$500K+")</f>
        <v>$200K–$500K</v>
      </c>
      <c r="J731" s="9" t="str">
        <f t="shared" si="55"/>
        <v>2020s</v>
      </c>
      <c r="K731">
        <f t="shared" si="56"/>
        <v>4.1755779610958346E-2</v>
      </c>
      <c r="L731">
        <f t="shared" si="57"/>
        <v>0.32390300230946883</v>
      </c>
      <c r="M731">
        <f t="shared" si="58"/>
        <v>0.65957446808510645</v>
      </c>
      <c r="N731">
        <f t="shared" si="59"/>
        <v>0.34174441666851124</v>
      </c>
    </row>
    <row r="732" spans="1:14">
      <c r="A732" t="s">
        <v>13</v>
      </c>
      <c r="B732" t="s">
        <v>118</v>
      </c>
      <c r="C732">
        <v>2022</v>
      </c>
      <c r="D732">
        <v>2.5</v>
      </c>
      <c r="E732">
        <v>394</v>
      </c>
      <c r="F732">
        <v>354</v>
      </c>
      <c r="G732">
        <v>3.6</v>
      </c>
      <c r="H732" s="4">
        <v>70000</v>
      </c>
      <c r="I732" s="8" t="str" cm="1">
        <f t="array" ref="I732">_xlfn.IFS(H732&lt;50000,"Under $50K", H732&lt;100000,"$50K–$100K",
     H732&lt;200000,"$100K–$200K", H732&lt;500000,"$200K–$500K",
     H732&gt;=500000,"$500K+")</f>
        <v>$50K–$100K</v>
      </c>
      <c r="J732" s="9" t="str">
        <f t="shared" si="55"/>
        <v>2020s</v>
      </c>
      <c r="K732">
        <f t="shared" si="56"/>
        <v>2.1692636724717385E-2</v>
      </c>
      <c r="L732">
        <f t="shared" si="57"/>
        <v>0.20438799076212472</v>
      </c>
      <c r="M732">
        <f t="shared" si="58"/>
        <v>0.61702127659574468</v>
      </c>
      <c r="N732">
        <f t="shared" si="59"/>
        <v>0.28103396802752895</v>
      </c>
    </row>
    <row r="733" spans="1:14">
      <c r="A733" t="s">
        <v>29</v>
      </c>
      <c r="B733" t="s">
        <v>103</v>
      </c>
      <c r="C733">
        <v>2021</v>
      </c>
      <c r="D733">
        <v>3.8</v>
      </c>
      <c r="E733">
        <v>562</v>
      </c>
      <c r="F733">
        <v>443</v>
      </c>
      <c r="G733">
        <v>3.1</v>
      </c>
      <c r="H733" s="4">
        <v>200000</v>
      </c>
      <c r="I733" s="8" t="str" cm="1">
        <f t="array" ref="I733">_xlfn.IFS(H733&lt;50000,"Under $50K", H733&lt;100000,"$50K–$100K",
     H733&lt;200000,"$100K–$200K", H733&lt;500000,"$200K–$500K",
     H733&gt;=500000,"$500K+")</f>
        <v>$200K–$500K</v>
      </c>
      <c r="J733" s="9" t="str">
        <f t="shared" si="55"/>
        <v>2020s</v>
      </c>
      <c r="K733">
        <f t="shared" si="56"/>
        <v>3.8802322028719832E-2</v>
      </c>
      <c r="L733">
        <f t="shared" si="57"/>
        <v>0.25577367205542723</v>
      </c>
      <c r="M733">
        <f t="shared" si="58"/>
        <v>0.72340425531914887</v>
      </c>
      <c r="N733">
        <f t="shared" si="59"/>
        <v>0.33932674980109861</v>
      </c>
    </row>
    <row r="734" spans="1:14">
      <c r="A734" t="s">
        <v>15</v>
      </c>
      <c r="B734" t="s">
        <v>99</v>
      </c>
      <c r="C734">
        <v>2022</v>
      </c>
      <c r="D734" t="s">
        <v>228</v>
      </c>
      <c r="E734">
        <v>369</v>
      </c>
      <c r="F734">
        <v>184</v>
      </c>
      <c r="G734">
        <v>4.2</v>
      </c>
      <c r="H734" s="4">
        <v>148500</v>
      </c>
      <c r="I734" s="8" t="str" cm="1">
        <f t="array" ref="I734">_xlfn.IFS(H734&lt;50000,"Under $50K", H734&lt;100000,"$50K–$100K",
     H734&lt;200000,"$100K–$200K", H734&lt;500000,"$200K–$500K",
     H734&gt;=500000,"$500K+")</f>
        <v>$100K–$200K</v>
      </c>
      <c r="J734" s="9" t="str">
        <f t="shared" si="55"/>
        <v>2020s</v>
      </c>
      <c r="K734">
        <f t="shared" si="56"/>
        <v>1.9146552602097973E-2</v>
      </c>
      <c r="L734">
        <f t="shared" si="57"/>
        <v>0.10623556581986143</v>
      </c>
      <c r="M734">
        <f t="shared" si="58"/>
        <v>0.4893617021276595</v>
      </c>
      <c r="N734">
        <f t="shared" si="59"/>
        <v>0.20491460684987298</v>
      </c>
    </row>
    <row r="735" spans="1:14">
      <c r="A735" t="s">
        <v>36</v>
      </c>
      <c r="B735" t="s">
        <v>122</v>
      </c>
      <c r="C735">
        <v>2022</v>
      </c>
      <c r="D735">
        <v>2</v>
      </c>
      <c r="E735">
        <v>300</v>
      </c>
      <c r="F735">
        <v>280</v>
      </c>
      <c r="G735">
        <v>4.9000000000000004</v>
      </c>
      <c r="H735" s="4">
        <v>61500</v>
      </c>
      <c r="I735" s="8" t="str" cm="1">
        <f t="array" ref="I735">_xlfn.IFS(H735&lt;50000,"Under $50K", H735&lt;100000,"$50K–$100K",
     H735&lt;200000,"$100K–$200K", H735&lt;500000,"$200K–$500K",
     H735&gt;=500000,"$500K+")</f>
        <v>$50K–$100K</v>
      </c>
      <c r="J735" s="9" t="str">
        <f t="shared" si="55"/>
        <v>2020s</v>
      </c>
      <c r="K735">
        <f t="shared" si="56"/>
        <v>1.2119360423668398E-2</v>
      </c>
      <c r="L735">
        <f t="shared" si="57"/>
        <v>0.16166281755196305</v>
      </c>
      <c r="M735">
        <f t="shared" si="58"/>
        <v>0.34042553191489355</v>
      </c>
      <c r="N735">
        <f t="shared" si="59"/>
        <v>0.17140256996350833</v>
      </c>
    </row>
    <row r="736" spans="1:14">
      <c r="A736" t="s">
        <v>24</v>
      </c>
      <c r="B736" t="s">
        <v>115</v>
      </c>
      <c r="C736">
        <v>2021</v>
      </c>
      <c r="D736">
        <v>6.5</v>
      </c>
      <c r="E736">
        <v>770</v>
      </c>
      <c r="F736">
        <v>531</v>
      </c>
      <c r="G736">
        <v>2.8</v>
      </c>
      <c r="H736" s="4">
        <v>417826</v>
      </c>
      <c r="I736" s="8" t="str" cm="1">
        <f t="array" ref="I736">_xlfn.IFS(H736&lt;50000,"Under $50K", H736&lt;100000,"$50K–$100K",
     H736&lt;200000,"$100K–$200K", H736&lt;500000,"$200K–$500K",
     H736&gt;=500000,"$500K+")</f>
        <v>$200K–$500K</v>
      </c>
      <c r="J736" s="9" t="str">
        <f t="shared" si="55"/>
        <v>2020s</v>
      </c>
      <c r="K736">
        <f t="shared" si="56"/>
        <v>5.998574192891333E-2</v>
      </c>
      <c r="L736">
        <f t="shared" si="57"/>
        <v>0.30658198614318705</v>
      </c>
      <c r="M736">
        <f t="shared" si="58"/>
        <v>0.78723404255319152</v>
      </c>
      <c r="N736">
        <f t="shared" si="59"/>
        <v>0.38460059020843063</v>
      </c>
    </row>
    <row r="737" spans="1:14">
      <c r="A737" t="s">
        <v>19</v>
      </c>
      <c r="B737" t="s">
        <v>134</v>
      </c>
      <c r="C737">
        <v>2022</v>
      </c>
      <c r="D737">
        <v>3.9</v>
      </c>
      <c r="E737">
        <v>612</v>
      </c>
      <c r="F737">
        <v>561</v>
      </c>
      <c r="G737">
        <v>3.3</v>
      </c>
      <c r="H737" s="4">
        <v>245000</v>
      </c>
      <c r="I737" s="8" t="str" cm="1">
        <f t="array" ref="I737">_xlfn.IFS(H737&lt;50000,"Under $50K", H737&lt;100000,"$50K–$100K",
     H737&lt;200000,"$100K–$200K", H737&lt;500000,"$200K–$500K",
     H737&gt;=500000,"$500K+")</f>
        <v>$200K–$500K</v>
      </c>
      <c r="J737" s="9" t="str">
        <f t="shared" si="55"/>
        <v>2020s</v>
      </c>
      <c r="K737">
        <f t="shared" si="56"/>
        <v>4.3894490273958649E-2</v>
      </c>
      <c r="L737">
        <f t="shared" si="57"/>
        <v>0.32390300230946883</v>
      </c>
      <c r="M737">
        <f t="shared" si="58"/>
        <v>0.68085106382978733</v>
      </c>
      <c r="N737">
        <f t="shared" si="59"/>
        <v>0.34954951880440494</v>
      </c>
    </row>
    <row r="738" spans="1:14">
      <c r="A738" t="s">
        <v>13</v>
      </c>
      <c r="B738" t="s">
        <v>118</v>
      </c>
      <c r="C738">
        <v>2022</v>
      </c>
      <c r="D738">
        <v>2.5</v>
      </c>
      <c r="E738">
        <v>394</v>
      </c>
      <c r="F738">
        <v>354</v>
      </c>
      <c r="G738">
        <v>3.6</v>
      </c>
      <c r="H738" s="4">
        <v>67800</v>
      </c>
      <c r="I738" s="8" t="str" cm="1">
        <f t="array" ref="I738">_xlfn.IFS(H738&lt;50000,"Under $50K", H738&lt;100000,"$50K–$100K",
     H738&lt;200000,"$100K–$200K", H738&lt;500000,"$200K–$500K",
     H738&gt;=500000,"$500K+")</f>
        <v>$50K–$100K</v>
      </c>
      <c r="J738" s="9" t="str">
        <f t="shared" si="55"/>
        <v>2020s</v>
      </c>
      <c r="K738">
        <f t="shared" si="56"/>
        <v>2.1692636724717385E-2</v>
      </c>
      <c r="L738">
        <f t="shared" si="57"/>
        <v>0.20438799076212472</v>
      </c>
      <c r="M738">
        <f t="shared" si="58"/>
        <v>0.61702127659574468</v>
      </c>
      <c r="N738">
        <f t="shared" si="59"/>
        <v>0.28103396802752895</v>
      </c>
    </row>
    <row r="739" spans="1:14">
      <c r="A739" t="s">
        <v>29</v>
      </c>
      <c r="B739" t="s">
        <v>92</v>
      </c>
      <c r="C739">
        <v>2022</v>
      </c>
      <c r="D739">
        <v>4</v>
      </c>
      <c r="E739">
        <v>620</v>
      </c>
      <c r="F739">
        <v>465</v>
      </c>
      <c r="G739">
        <v>3.1</v>
      </c>
      <c r="H739" s="4">
        <v>211300</v>
      </c>
      <c r="I739" s="8" t="str" cm="1">
        <f t="array" ref="I739">_xlfn.IFS(H739&lt;50000,"Under $50K", H739&lt;100000,"$50K–$100K",
     H739&lt;200000,"$100K–$200K", H739&lt;500000,"$200K–$500K",
     H739&gt;=500000,"$500K+")</f>
        <v>$200K–$500K</v>
      </c>
      <c r="J739" s="9" t="str">
        <f t="shared" si="55"/>
        <v>2020s</v>
      </c>
      <c r="K739">
        <f t="shared" si="56"/>
        <v>4.470923719319686E-2</v>
      </c>
      <c r="L739">
        <f t="shared" si="57"/>
        <v>0.26847575057736722</v>
      </c>
      <c r="M739">
        <f t="shared" si="58"/>
        <v>0.72340425531914887</v>
      </c>
      <c r="N739">
        <f t="shared" si="59"/>
        <v>0.34552974769657102</v>
      </c>
    </row>
    <row r="740" spans="1:14">
      <c r="A740" t="s">
        <v>15</v>
      </c>
      <c r="B740" t="s">
        <v>90</v>
      </c>
      <c r="C740">
        <v>2022</v>
      </c>
      <c r="D740">
        <v>3</v>
      </c>
      <c r="E740">
        <v>473</v>
      </c>
      <c r="F740">
        <v>406</v>
      </c>
      <c r="G740">
        <v>4.0999999999999996</v>
      </c>
      <c r="H740" s="4">
        <v>71800</v>
      </c>
      <c r="I740" s="8" t="str" cm="1">
        <f t="array" ref="I740">_xlfn.IFS(H740&lt;50000,"Under $50K", H740&lt;100000,"$50K–$100K",
     H740&lt;200000,"$100K–$200K", H740&lt;500000,"$200K–$500K",
     H740&gt;=500000,"$500K+")</f>
        <v>$50K–$100K</v>
      </c>
      <c r="J740" s="9" t="str">
        <f t="shared" si="55"/>
        <v>2020s</v>
      </c>
      <c r="K740">
        <f t="shared" si="56"/>
        <v>2.9738262552194725E-2</v>
      </c>
      <c r="L740">
        <f t="shared" si="57"/>
        <v>0.23441108545034642</v>
      </c>
      <c r="M740">
        <f t="shared" si="58"/>
        <v>0.5106382978723405</v>
      </c>
      <c r="N740">
        <f t="shared" si="59"/>
        <v>0.25826254862496056</v>
      </c>
    </row>
    <row r="741" spans="1:14">
      <c r="A741" t="s">
        <v>31</v>
      </c>
      <c r="B741" t="s">
        <v>82</v>
      </c>
      <c r="C741">
        <v>2015</v>
      </c>
      <c r="D741">
        <v>6.2</v>
      </c>
      <c r="E741">
        <v>622</v>
      </c>
      <c r="F741">
        <v>468</v>
      </c>
      <c r="G741">
        <v>3.5</v>
      </c>
      <c r="H741" s="4">
        <v>222500</v>
      </c>
      <c r="I741" s="8" t="str" cm="1">
        <f t="array" ref="I741">_xlfn.IFS(H741&lt;50000,"Under $50K", H741&lt;100000,"$50K–$100K",
     H741&lt;200000,"$100K–$200K", H741&lt;500000,"$200K–$500K",
     H741&gt;=500000,"$500K+")</f>
        <v>$200K–$500K</v>
      </c>
      <c r="J741" s="9" t="str">
        <f t="shared" si="55"/>
        <v>2010s</v>
      </c>
      <c r="K741">
        <f t="shared" si="56"/>
        <v>4.4912923923006415E-2</v>
      </c>
      <c r="L741">
        <f t="shared" si="57"/>
        <v>0.2702078521939954</v>
      </c>
      <c r="M741">
        <f t="shared" si="58"/>
        <v>0.63829787234042556</v>
      </c>
      <c r="N741">
        <f t="shared" si="59"/>
        <v>0.31780621615247578</v>
      </c>
    </row>
    <row r="742" spans="1:14">
      <c r="A742" t="s">
        <v>17</v>
      </c>
      <c r="B742" t="s">
        <v>105</v>
      </c>
      <c r="C742">
        <v>2022</v>
      </c>
      <c r="D742">
        <v>6.2</v>
      </c>
      <c r="E742">
        <v>455</v>
      </c>
      <c r="F742">
        <v>455</v>
      </c>
      <c r="G742">
        <v>4</v>
      </c>
      <c r="H742" s="4">
        <v>43995</v>
      </c>
      <c r="I742" s="8" t="str" cm="1">
        <f t="array" ref="I742">_xlfn.IFS(H742&lt;50000,"Under $50K", H742&lt;100000,"$50K–$100K",
     H742&lt;200000,"$100K–$200K", H742&lt;500000,"$200K–$500K",
     H742&gt;=500000,"$500K+")</f>
        <v>Under $50K</v>
      </c>
      <c r="J742" s="9" t="str">
        <f t="shared" si="55"/>
        <v>2020s</v>
      </c>
      <c r="K742">
        <f t="shared" si="56"/>
        <v>2.7905081983908748E-2</v>
      </c>
      <c r="L742">
        <f t="shared" si="57"/>
        <v>0.26270207852193994</v>
      </c>
      <c r="M742">
        <f t="shared" si="58"/>
        <v>0.53191489361702127</v>
      </c>
      <c r="N742">
        <f t="shared" si="59"/>
        <v>0.27417401804095665</v>
      </c>
    </row>
    <row r="743" spans="1:14">
      <c r="A743" t="s">
        <v>20</v>
      </c>
      <c r="B743" t="s">
        <v>92</v>
      </c>
      <c r="C743">
        <v>2022</v>
      </c>
      <c r="D743">
        <v>3.5</v>
      </c>
      <c r="E743">
        <v>660</v>
      </c>
      <c r="F743">
        <v>550</v>
      </c>
      <c r="G743">
        <v>2.9</v>
      </c>
      <c r="H743" s="4">
        <v>500000</v>
      </c>
      <c r="I743" s="8" t="str" cm="1">
        <f t="array" ref="I743">_xlfn.IFS(H743&lt;50000,"Under $50K", H743&lt;100000,"$50K–$100K",
     H743&lt;200000,"$100K–$200K", H743&lt;500000,"$200K–$500K",
     H743&gt;=500000,"$500K+")</f>
        <v>$500K+</v>
      </c>
      <c r="J743" s="9" t="str">
        <f t="shared" si="55"/>
        <v>2020s</v>
      </c>
      <c r="K743">
        <f t="shared" si="56"/>
        <v>4.8782971789387924E-2</v>
      </c>
      <c r="L743">
        <f t="shared" si="57"/>
        <v>0.31755196304849886</v>
      </c>
      <c r="M743">
        <f t="shared" si="58"/>
        <v>0.76595744680851063</v>
      </c>
      <c r="N743">
        <f t="shared" si="59"/>
        <v>0.37743079388213246</v>
      </c>
    </row>
    <row r="744" spans="1:14">
      <c r="A744" t="s">
        <v>32</v>
      </c>
      <c r="B744" t="s">
        <v>93</v>
      </c>
      <c r="C744">
        <v>2021</v>
      </c>
      <c r="D744">
        <v>3.7</v>
      </c>
      <c r="E744">
        <v>350</v>
      </c>
      <c r="F744">
        <v>276</v>
      </c>
      <c r="G744">
        <v>4.8</v>
      </c>
      <c r="H744" s="4">
        <v>45790</v>
      </c>
      <c r="I744" s="8" t="str" cm="1">
        <f t="array" ref="I744">_xlfn.IFS(H744&lt;50000,"Under $50K", H744&lt;100000,"$50K–$100K",
     H744&lt;200000,"$100K–$200K", H744&lt;500000,"$200K–$500K",
     H744&gt;=500000,"$500K+")</f>
        <v>Under $50K</v>
      </c>
      <c r="J744" s="9" t="str">
        <f t="shared" si="55"/>
        <v>2020s</v>
      </c>
      <c r="K744">
        <f t="shared" si="56"/>
        <v>1.7211528668907222E-2</v>
      </c>
      <c r="L744">
        <f t="shared" si="57"/>
        <v>0.15935334872979215</v>
      </c>
      <c r="M744">
        <f t="shared" si="58"/>
        <v>0.36170212765957455</v>
      </c>
      <c r="N744">
        <f t="shared" si="59"/>
        <v>0.17942233501942462</v>
      </c>
    </row>
    <row r="745" spans="1:14">
      <c r="A745" t="s">
        <v>36</v>
      </c>
      <c r="B745" t="s">
        <v>229</v>
      </c>
      <c r="C745">
        <v>2022</v>
      </c>
      <c r="D745">
        <v>3.8</v>
      </c>
      <c r="E745">
        <v>640</v>
      </c>
      <c r="F745">
        <v>590</v>
      </c>
      <c r="G745">
        <v>2.6</v>
      </c>
      <c r="H745" s="4">
        <v>208000</v>
      </c>
      <c r="I745" s="8" t="str" cm="1">
        <f t="array" ref="I745">_xlfn.IFS(H745&lt;50000,"Under $50K", H745&lt;100000,"$50K–$100K",
     H745&lt;200000,"$100K–$200K", H745&lt;500000,"$200K–$500K",
     H745&gt;=500000,"$500K+")</f>
        <v>$200K–$500K</v>
      </c>
      <c r="J745" s="9" t="str">
        <f t="shared" si="55"/>
        <v>2020s</v>
      </c>
      <c r="K745">
        <f t="shared" si="56"/>
        <v>4.6746104491292392E-2</v>
      </c>
      <c r="L745">
        <f t="shared" si="57"/>
        <v>0.34064665127020788</v>
      </c>
      <c r="M745">
        <f t="shared" si="58"/>
        <v>0.82978723404255317</v>
      </c>
      <c r="N745">
        <f t="shared" si="59"/>
        <v>0.40572666326801782</v>
      </c>
    </row>
    <row r="746" spans="1:14">
      <c r="A746" t="s">
        <v>29</v>
      </c>
      <c r="B746" t="s">
        <v>171</v>
      </c>
      <c r="C746">
        <v>2021</v>
      </c>
      <c r="D746">
        <v>4</v>
      </c>
      <c r="E746">
        <v>755</v>
      </c>
      <c r="F746">
        <v>590</v>
      </c>
      <c r="G746">
        <v>2.8</v>
      </c>
      <c r="H746" s="4">
        <v>358000</v>
      </c>
      <c r="I746" s="8" t="str" cm="1">
        <f t="array" ref="I746">_xlfn.IFS(H746&lt;50000,"Under $50K", H746&lt;100000,"$50K–$100K",
     H746&lt;200000,"$100K–$200K", H746&lt;500000,"$200K–$500K",
     H746&gt;=500000,"$500K+")</f>
        <v>$200K–$500K</v>
      </c>
      <c r="J746" s="9" t="str">
        <f t="shared" si="55"/>
        <v>2020s</v>
      </c>
      <c r="K746">
        <f t="shared" si="56"/>
        <v>5.8458091455341685E-2</v>
      </c>
      <c r="L746">
        <f t="shared" si="57"/>
        <v>0.34064665127020788</v>
      </c>
      <c r="M746">
        <f t="shared" si="58"/>
        <v>0.78723404255319152</v>
      </c>
      <c r="N746">
        <f t="shared" si="59"/>
        <v>0.39544626175958036</v>
      </c>
    </row>
    <row r="747" spans="1:14">
      <c r="A747" t="s">
        <v>24</v>
      </c>
      <c r="B747" t="s">
        <v>96</v>
      </c>
      <c r="C747">
        <v>2021</v>
      </c>
      <c r="D747">
        <v>4</v>
      </c>
      <c r="E747">
        <v>641</v>
      </c>
      <c r="F747">
        <v>627</v>
      </c>
      <c r="G747">
        <v>3.6</v>
      </c>
      <c r="H747" s="4">
        <v>218009</v>
      </c>
      <c r="I747" s="8" t="str" cm="1">
        <f t="array" ref="I747">_xlfn.IFS(H747&lt;50000,"Under $50K", H747&lt;100000,"$50K–$100K",
     H747&lt;200000,"$100K–$200K", H747&lt;500000,"$200K–$500K",
     H747&gt;=500000,"$500K+")</f>
        <v>$200K–$500K</v>
      </c>
      <c r="J747" s="9" t="str">
        <f t="shared" si="55"/>
        <v>2020s</v>
      </c>
      <c r="K747">
        <f t="shared" si="56"/>
        <v>4.684794785619717E-2</v>
      </c>
      <c r="L747">
        <f t="shared" si="57"/>
        <v>0.36200923787528866</v>
      </c>
      <c r="M747">
        <f t="shared" si="58"/>
        <v>0.61702127659574468</v>
      </c>
      <c r="N747">
        <f t="shared" si="59"/>
        <v>0.34195948744241017</v>
      </c>
    </row>
    <row r="748" spans="1:14">
      <c r="A748" t="s">
        <v>30</v>
      </c>
      <c r="B748" t="s">
        <v>221</v>
      </c>
      <c r="C748">
        <v>2021</v>
      </c>
      <c r="D748">
        <v>4</v>
      </c>
      <c r="E748">
        <v>720</v>
      </c>
      <c r="F748">
        <v>590</v>
      </c>
      <c r="G748">
        <v>3.1</v>
      </c>
      <c r="H748" s="4">
        <v>325000</v>
      </c>
      <c r="I748" s="8" t="str" cm="1">
        <f t="array" ref="I748">_xlfn.IFS(H748&lt;50000,"Under $50K", H748&lt;100000,"$50K–$100K",
     H748&lt;200000,"$100K–$200K", H748&lt;500000,"$200K–$500K",
     H748&gt;=500000,"$500K+")</f>
        <v>$200K–$500K</v>
      </c>
      <c r="J748" s="9" t="str">
        <f t="shared" si="55"/>
        <v>2020s</v>
      </c>
      <c r="K748">
        <f t="shared" si="56"/>
        <v>5.4893573683674507E-2</v>
      </c>
      <c r="L748">
        <f t="shared" si="57"/>
        <v>0.34064665127020788</v>
      </c>
      <c r="M748">
        <f t="shared" si="58"/>
        <v>0.72340425531914887</v>
      </c>
      <c r="N748">
        <f t="shared" si="59"/>
        <v>0.37298149342434378</v>
      </c>
    </row>
    <row r="749" spans="1:14">
      <c r="A749" t="s">
        <v>15</v>
      </c>
      <c r="B749" t="s">
        <v>230</v>
      </c>
      <c r="C749">
        <v>2022</v>
      </c>
      <c r="D749">
        <v>4.4000000000000004</v>
      </c>
      <c r="E749">
        <v>617</v>
      </c>
      <c r="F749">
        <v>553</v>
      </c>
      <c r="G749">
        <v>3.1</v>
      </c>
      <c r="H749" s="4">
        <v>103500</v>
      </c>
      <c r="I749" s="8" t="str" cm="1">
        <f t="array" ref="I749">_xlfn.IFS(H749&lt;50000,"Under $50K", H749&lt;100000,"$50K–$100K",
     H749&lt;200000,"$100K–$200K", H749&lt;500000,"$200K–$500K",
     H749&gt;=500000,"$500K+")</f>
        <v>$100K–$200K</v>
      </c>
      <c r="J749" s="9" t="str">
        <f t="shared" si="55"/>
        <v>2020s</v>
      </c>
      <c r="K749">
        <f t="shared" si="56"/>
        <v>4.4403707098482535E-2</v>
      </c>
      <c r="L749">
        <f t="shared" si="57"/>
        <v>0.31928406466512704</v>
      </c>
      <c r="M749">
        <f t="shared" si="58"/>
        <v>0.72340425531914887</v>
      </c>
      <c r="N749">
        <f t="shared" si="59"/>
        <v>0.36236400902758614</v>
      </c>
    </row>
    <row r="750" spans="1:14">
      <c r="A750" t="s">
        <v>13</v>
      </c>
      <c r="B750" t="s">
        <v>89</v>
      </c>
      <c r="C750">
        <v>2022</v>
      </c>
      <c r="D750">
        <v>4</v>
      </c>
      <c r="E750">
        <v>591</v>
      </c>
      <c r="F750">
        <v>590</v>
      </c>
      <c r="G750">
        <v>3.5</v>
      </c>
      <c r="H750" s="4">
        <v>115000</v>
      </c>
      <c r="I750" s="8" t="str" cm="1">
        <f t="array" ref="I750">_xlfn.IFS(H750&lt;50000,"Under $50K", H750&lt;100000,"$50K–$100K",
     H750&lt;200000,"$100K–$200K", H750&lt;500000,"$200K–$500K",
     H750&gt;=500000,"$500K+")</f>
        <v>$100K–$200K</v>
      </c>
      <c r="J750" s="9" t="str">
        <f t="shared" si="55"/>
        <v>2020s</v>
      </c>
      <c r="K750">
        <f t="shared" si="56"/>
        <v>4.1755779610958346E-2</v>
      </c>
      <c r="L750">
        <f t="shared" si="57"/>
        <v>0.34064665127020788</v>
      </c>
      <c r="M750">
        <f t="shared" si="58"/>
        <v>0.63829787234042556</v>
      </c>
      <c r="N750">
        <f t="shared" si="59"/>
        <v>0.34023343440719728</v>
      </c>
    </row>
    <row r="751" spans="1:14">
      <c r="A751" t="s">
        <v>12</v>
      </c>
      <c r="B751" t="s">
        <v>107</v>
      </c>
      <c r="C751">
        <v>2022</v>
      </c>
      <c r="D751">
        <v>4</v>
      </c>
      <c r="E751">
        <v>503</v>
      </c>
      <c r="F751">
        <v>505</v>
      </c>
      <c r="G751">
        <v>3.5</v>
      </c>
      <c r="H751" s="4">
        <v>152995</v>
      </c>
      <c r="I751" s="8" t="str" cm="1">
        <f t="array" ref="I751">_xlfn.IFS(H751&lt;50000,"Under $50K", H751&lt;100000,"$50K–$100K",
     H751&lt;200000,"$100K–$200K", H751&lt;500000,"$200K–$500K",
     H751&gt;=500000,"$500K+")</f>
        <v>$100K–$200K</v>
      </c>
      <c r="J751" s="9" t="str">
        <f t="shared" si="55"/>
        <v>2020s</v>
      </c>
      <c r="K751">
        <f t="shared" si="56"/>
        <v>3.279356349933802E-2</v>
      </c>
      <c r="L751">
        <f t="shared" si="57"/>
        <v>0.29157043879907624</v>
      </c>
      <c r="M751">
        <f t="shared" si="58"/>
        <v>0.63829787234042556</v>
      </c>
      <c r="N751">
        <f t="shared" si="59"/>
        <v>0.32088729154627993</v>
      </c>
    </row>
    <row r="752" spans="1:14">
      <c r="A752" t="s">
        <v>19</v>
      </c>
      <c r="B752" t="s">
        <v>199</v>
      </c>
      <c r="C752">
        <v>2021</v>
      </c>
      <c r="D752">
        <v>3.9</v>
      </c>
      <c r="E752">
        <v>710</v>
      </c>
      <c r="F752">
        <v>568</v>
      </c>
      <c r="G752">
        <v>2.9</v>
      </c>
      <c r="H752" s="4">
        <v>274280</v>
      </c>
      <c r="I752" s="8" t="str" cm="1">
        <f t="array" ref="I752">_xlfn.IFS(H752&lt;50000,"Under $50K", H752&lt;100000,"$50K–$100K",
     H752&lt;200000,"$100K–$200K", H752&lt;500000,"$200K–$500K",
     H752&gt;=500000,"$500K+")</f>
        <v>$200K–$500K</v>
      </c>
      <c r="J752" s="9" t="str">
        <f t="shared" si="55"/>
        <v>2020s</v>
      </c>
      <c r="K752">
        <f t="shared" si="56"/>
        <v>5.3875140034626741E-2</v>
      </c>
      <c r="L752">
        <f t="shared" si="57"/>
        <v>0.32794457274826788</v>
      </c>
      <c r="M752">
        <f t="shared" si="58"/>
        <v>0.76595744680851063</v>
      </c>
      <c r="N752">
        <f t="shared" si="59"/>
        <v>0.3825923865304684</v>
      </c>
    </row>
    <row r="753" spans="1:14">
      <c r="A753" t="s">
        <v>25</v>
      </c>
      <c r="B753" t="s">
        <v>74</v>
      </c>
      <c r="C753">
        <v>2022</v>
      </c>
      <c r="D753">
        <v>5</v>
      </c>
      <c r="E753">
        <v>471</v>
      </c>
      <c r="F753">
        <v>398</v>
      </c>
      <c r="G753">
        <v>4.4000000000000004</v>
      </c>
      <c r="H753" s="4">
        <v>102550</v>
      </c>
      <c r="I753" s="8" t="str" cm="1">
        <f t="array" ref="I753">_xlfn.IFS(H753&lt;50000,"Under $50K", H753&lt;100000,"$50K–$100K",
     H753&lt;200000,"$100K–$200K", H753&lt;500000,"$200K–$500K",
     H753&gt;=500000,"$500K+")</f>
        <v>$100K–$200K</v>
      </c>
      <c r="J753" s="9" t="str">
        <f t="shared" si="55"/>
        <v>2020s</v>
      </c>
      <c r="K753">
        <f t="shared" si="56"/>
        <v>2.9534575822385171E-2</v>
      </c>
      <c r="L753">
        <f t="shared" si="57"/>
        <v>0.22979214780600463</v>
      </c>
      <c r="M753">
        <f t="shared" si="58"/>
        <v>0.44680851063829774</v>
      </c>
      <c r="N753">
        <f t="shared" si="59"/>
        <v>0.23537841142222918</v>
      </c>
    </row>
    <row r="754" spans="1:14">
      <c r="A754" t="s">
        <v>36</v>
      </c>
      <c r="B754" t="s">
        <v>148</v>
      </c>
      <c r="C754">
        <v>2022</v>
      </c>
      <c r="D754" t="s">
        <v>141</v>
      </c>
      <c r="E754">
        <v>469</v>
      </c>
      <c r="F754">
        <v>479</v>
      </c>
      <c r="G754">
        <v>3.8</v>
      </c>
      <c r="H754" s="4">
        <v>79900</v>
      </c>
      <c r="I754" s="8" t="str" cm="1">
        <f t="array" ref="I754">_xlfn.IFS(H754&lt;50000,"Under $50K", H754&lt;100000,"$50K–$100K",
     H754&lt;200000,"$100K–$200K", H754&lt;500000,"$200K–$500K",
     H754&gt;=500000,"$500K+")</f>
        <v>$50K–$100K</v>
      </c>
      <c r="J754" s="9" t="str">
        <f t="shared" si="55"/>
        <v>2020s</v>
      </c>
      <c r="K754">
        <f t="shared" si="56"/>
        <v>2.933088909257562E-2</v>
      </c>
      <c r="L754">
        <f t="shared" si="57"/>
        <v>0.27655889145496537</v>
      </c>
      <c r="M754">
        <f t="shared" si="58"/>
        <v>0.57446808510638303</v>
      </c>
      <c r="N754">
        <f t="shared" si="59"/>
        <v>0.29345262188464133</v>
      </c>
    </row>
    <row r="755" spans="1:14">
      <c r="A755" t="s">
        <v>24</v>
      </c>
      <c r="B755" t="s">
        <v>87</v>
      </c>
      <c r="C755">
        <v>2021</v>
      </c>
      <c r="D755">
        <v>6.5</v>
      </c>
      <c r="E755">
        <v>759</v>
      </c>
      <c r="F755">
        <v>531</v>
      </c>
      <c r="G755">
        <v>2.8</v>
      </c>
      <c r="H755" s="4">
        <v>517770</v>
      </c>
      <c r="I755" s="8" t="str" cm="1">
        <f t="array" ref="I755">_xlfn.IFS(H755&lt;50000,"Under $50K", H755&lt;100000,"$50K–$100K",
     H755&lt;200000,"$100K–$200K", H755&lt;500000,"$200K–$500K",
     H755&gt;=500000,"$500K+")</f>
        <v>$500K+</v>
      </c>
      <c r="J755" s="9" t="str">
        <f t="shared" si="55"/>
        <v>2020s</v>
      </c>
      <c r="K755">
        <f t="shared" si="56"/>
        <v>5.8865464914960787E-2</v>
      </c>
      <c r="L755">
        <f t="shared" si="57"/>
        <v>0.30658198614318705</v>
      </c>
      <c r="M755">
        <f t="shared" si="58"/>
        <v>0.78723404255319152</v>
      </c>
      <c r="N755">
        <f t="shared" si="59"/>
        <v>0.38422716453711314</v>
      </c>
    </row>
    <row r="756" spans="1:14">
      <c r="A756" t="s">
        <v>19</v>
      </c>
      <c r="B756" t="s">
        <v>88</v>
      </c>
      <c r="C756">
        <v>2021</v>
      </c>
      <c r="D756">
        <v>4</v>
      </c>
      <c r="E756">
        <v>986</v>
      </c>
      <c r="F756">
        <v>590</v>
      </c>
      <c r="G756">
        <v>2.5</v>
      </c>
      <c r="H756" s="4">
        <v>625000</v>
      </c>
      <c r="I756" s="8" t="str" cm="1">
        <f t="array" ref="I756">_xlfn.IFS(H756&lt;50000,"Under $50K", H756&lt;100000,"$50K–$100K",
     H756&lt;200000,"$100K–$200K", H756&lt;500000,"$200K–$500K",
     H756&gt;=500000,"$500K+")</f>
        <v>$500K+</v>
      </c>
      <c r="J756" s="9" t="str">
        <f t="shared" si="55"/>
        <v>2020s</v>
      </c>
      <c r="K756">
        <f t="shared" si="56"/>
        <v>8.1983908748345047E-2</v>
      </c>
      <c r="L756">
        <f t="shared" si="57"/>
        <v>0.34064665127020788</v>
      </c>
      <c r="M756">
        <f t="shared" si="58"/>
        <v>0.85106382978723405</v>
      </c>
      <c r="N756">
        <f t="shared" si="59"/>
        <v>0.42456479660192903</v>
      </c>
    </row>
    <row r="757" spans="1:14">
      <c r="A757" t="s">
        <v>13</v>
      </c>
      <c r="B757" t="s">
        <v>231</v>
      </c>
      <c r="C757">
        <v>2021</v>
      </c>
      <c r="D757">
        <v>4</v>
      </c>
      <c r="E757">
        <v>591</v>
      </c>
      <c r="F757">
        <v>590</v>
      </c>
      <c r="G757">
        <v>3.5</v>
      </c>
      <c r="H757" s="4">
        <v>109000</v>
      </c>
      <c r="I757" s="8" t="str" cm="1">
        <f t="array" ref="I757">_xlfn.IFS(H757&lt;50000,"Under $50K", H757&lt;100000,"$50K–$100K",
     H757&lt;200000,"$100K–$200K", H757&lt;500000,"$200K–$500K",
     H757&gt;=500000,"$500K+")</f>
        <v>$100K–$200K</v>
      </c>
      <c r="J757" s="9" t="str">
        <f t="shared" si="55"/>
        <v>2020s</v>
      </c>
      <c r="K757">
        <f t="shared" si="56"/>
        <v>4.1755779610958346E-2</v>
      </c>
      <c r="L757">
        <f t="shared" si="57"/>
        <v>0.34064665127020788</v>
      </c>
      <c r="M757">
        <f t="shared" si="58"/>
        <v>0.63829787234042556</v>
      </c>
      <c r="N757">
        <f t="shared" si="59"/>
        <v>0.34023343440719728</v>
      </c>
    </row>
    <row r="758" spans="1:14">
      <c r="A758" t="s">
        <v>29</v>
      </c>
      <c r="B758" t="s">
        <v>193</v>
      </c>
      <c r="C758">
        <v>2021</v>
      </c>
      <c r="D758">
        <v>3.8</v>
      </c>
      <c r="E758">
        <v>592</v>
      </c>
      <c r="F758">
        <v>457</v>
      </c>
      <c r="G758">
        <v>2.8</v>
      </c>
      <c r="H758" s="4">
        <v>256500</v>
      </c>
      <c r="I758" s="8" t="str" cm="1">
        <f t="array" ref="I758">_xlfn.IFS(H758&lt;50000,"Under $50K", H758&lt;100000,"$50K–$100K",
     H758&lt;200000,"$100K–$200K", H758&lt;500000,"$200K–$500K",
     H758&gt;=500000,"$500K+")</f>
        <v>$200K–$500K</v>
      </c>
      <c r="J758" s="9" t="str">
        <f t="shared" si="55"/>
        <v>2020s</v>
      </c>
      <c r="K758">
        <f t="shared" si="56"/>
        <v>4.1857622975863124E-2</v>
      </c>
      <c r="L758">
        <f t="shared" si="57"/>
        <v>0.26385681293302543</v>
      </c>
      <c r="M758">
        <f t="shared" si="58"/>
        <v>0.78723404255319152</v>
      </c>
      <c r="N758">
        <f t="shared" si="59"/>
        <v>0.36431615948736001</v>
      </c>
    </row>
    <row r="759" spans="1:14">
      <c r="A759" t="s">
        <v>15</v>
      </c>
      <c r="B759" t="s">
        <v>90</v>
      </c>
      <c r="C759">
        <v>2022</v>
      </c>
      <c r="D759">
        <v>3</v>
      </c>
      <c r="E759">
        <v>473</v>
      </c>
      <c r="F759">
        <v>406</v>
      </c>
      <c r="G759">
        <v>3.8</v>
      </c>
      <c r="H759" s="4">
        <v>71800</v>
      </c>
      <c r="I759" s="8" t="str" cm="1">
        <f t="array" ref="I759">_xlfn.IFS(H759&lt;50000,"Under $50K", H759&lt;100000,"$50K–$100K",
     H759&lt;200000,"$100K–$200K", H759&lt;500000,"$200K–$500K",
     H759&gt;=500000,"$500K+")</f>
        <v>$50K–$100K</v>
      </c>
      <c r="J759" s="9" t="str">
        <f t="shared" si="55"/>
        <v>2020s</v>
      </c>
      <c r="K759">
        <f t="shared" si="56"/>
        <v>2.9738262552194725E-2</v>
      </c>
      <c r="L759">
        <f t="shared" si="57"/>
        <v>0.23441108545034642</v>
      </c>
      <c r="M759">
        <f t="shared" si="58"/>
        <v>0.57446808510638303</v>
      </c>
      <c r="N759">
        <f t="shared" si="59"/>
        <v>0.27953914436964139</v>
      </c>
    </row>
    <row r="760" spans="1:14">
      <c r="A760" t="s">
        <v>31</v>
      </c>
      <c r="B760" t="s">
        <v>159</v>
      </c>
      <c r="C760">
        <v>2021</v>
      </c>
      <c r="D760">
        <v>4</v>
      </c>
      <c r="E760">
        <v>577</v>
      </c>
      <c r="F760">
        <v>516</v>
      </c>
      <c r="G760">
        <v>3.5</v>
      </c>
      <c r="H760" s="4">
        <v>180000</v>
      </c>
      <c r="I760" s="8" t="str" cm="1">
        <f t="array" ref="I760">_xlfn.IFS(H760&lt;50000,"Under $50K", H760&lt;100000,"$50K–$100K",
     H760&lt;200000,"$100K–$200K", H760&lt;500000,"$200K–$500K",
     H760&gt;=500000,"$500K+")</f>
        <v>$100K–$200K</v>
      </c>
      <c r="J760" s="9" t="str">
        <f t="shared" si="55"/>
        <v>2020s</v>
      </c>
      <c r="K760">
        <f t="shared" si="56"/>
        <v>4.0329972502291478E-2</v>
      </c>
      <c r="L760">
        <f t="shared" si="57"/>
        <v>0.29792147806004621</v>
      </c>
      <c r="M760">
        <f t="shared" si="58"/>
        <v>0.63829787234042556</v>
      </c>
      <c r="N760">
        <f t="shared" si="59"/>
        <v>0.32551644096758775</v>
      </c>
    </row>
    <row r="761" spans="1:14">
      <c r="A761" t="s">
        <v>17</v>
      </c>
      <c r="B761" t="s">
        <v>91</v>
      </c>
      <c r="C761">
        <v>2021</v>
      </c>
      <c r="D761">
        <v>6.2</v>
      </c>
      <c r="E761">
        <v>650</v>
      </c>
      <c r="F761">
        <v>650</v>
      </c>
      <c r="G761">
        <v>3.5</v>
      </c>
      <c r="H761" s="4">
        <v>64695</v>
      </c>
      <c r="I761" s="8" t="str" cm="1">
        <f t="array" ref="I761">_xlfn.IFS(H761&lt;50000,"Under $50K", H761&lt;100000,"$50K–$100K",
     H761&lt;200000,"$100K–$200K", H761&lt;500000,"$200K–$500K",
     H761&gt;=500000,"$500K+")</f>
        <v>$50K–$100K</v>
      </c>
      <c r="J761" s="9" t="str">
        <f t="shared" si="55"/>
        <v>2020s</v>
      </c>
      <c r="K761">
        <f t="shared" si="56"/>
        <v>4.7764538140340158E-2</v>
      </c>
      <c r="L761">
        <f t="shared" si="57"/>
        <v>0.37528868360277134</v>
      </c>
      <c r="M761">
        <f t="shared" si="58"/>
        <v>0.63829787234042556</v>
      </c>
      <c r="N761">
        <f t="shared" si="59"/>
        <v>0.35378369802784571</v>
      </c>
    </row>
    <row r="762" spans="1:14">
      <c r="A762" t="s">
        <v>20</v>
      </c>
      <c r="B762" t="s">
        <v>92</v>
      </c>
      <c r="C762">
        <v>2022</v>
      </c>
      <c r="D762">
        <v>3.5</v>
      </c>
      <c r="E762">
        <v>660</v>
      </c>
      <c r="F762">
        <v>550</v>
      </c>
      <c r="G762">
        <v>3</v>
      </c>
      <c r="H762" s="4">
        <v>500000</v>
      </c>
      <c r="I762" s="8" t="str" cm="1">
        <f t="array" ref="I762">_xlfn.IFS(H762&lt;50000,"Under $50K", H762&lt;100000,"$50K–$100K",
     H762&lt;200000,"$100K–$200K", H762&lt;500000,"$200K–$500K",
     H762&gt;=500000,"$500K+")</f>
        <v>$500K+</v>
      </c>
      <c r="J762" s="9" t="str">
        <f t="shared" si="55"/>
        <v>2020s</v>
      </c>
      <c r="K762">
        <f t="shared" si="56"/>
        <v>4.8782971789387924E-2</v>
      </c>
      <c r="L762">
        <f t="shared" si="57"/>
        <v>0.31755196304849886</v>
      </c>
      <c r="M762">
        <f t="shared" si="58"/>
        <v>0.74468085106382986</v>
      </c>
      <c r="N762">
        <f t="shared" si="59"/>
        <v>0.37033859530057223</v>
      </c>
    </row>
    <row r="763" spans="1:14">
      <c r="A763" t="s">
        <v>32</v>
      </c>
      <c r="B763" t="s">
        <v>93</v>
      </c>
      <c r="C763">
        <v>2021</v>
      </c>
      <c r="D763">
        <v>3.7</v>
      </c>
      <c r="E763">
        <v>350</v>
      </c>
      <c r="F763">
        <v>276</v>
      </c>
      <c r="G763">
        <v>5</v>
      </c>
      <c r="H763" s="4">
        <v>48000</v>
      </c>
      <c r="I763" s="8" t="str" cm="1">
        <f t="array" ref="I763">_xlfn.IFS(H763&lt;50000,"Under $50K", H763&lt;100000,"$50K–$100K",
     H763&lt;200000,"$100K–$200K", H763&lt;500000,"$200K–$500K",
     H763&gt;=500000,"$500K+")</f>
        <v>Under $50K</v>
      </c>
      <c r="J763" s="9" t="str">
        <f t="shared" si="55"/>
        <v>2020s</v>
      </c>
      <c r="K763">
        <f t="shared" si="56"/>
        <v>1.7211528668907222E-2</v>
      </c>
      <c r="L763">
        <f t="shared" si="57"/>
        <v>0.15935334872979215</v>
      </c>
      <c r="M763">
        <f t="shared" si="58"/>
        <v>0.31914893617021278</v>
      </c>
      <c r="N763">
        <f t="shared" si="59"/>
        <v>0.16523793785630406</v>
      </c>
    </row>
    <row r="764" spans="1:14">
      <c r="A764" t="s">
        <v>36</v>
      </c>
      <c r="B764" t="s">
        <v>133</v>
      </c>
      <c r="C764">
        <v>2021</v>
      </c>
      <c r="D764">
        <v>4</v>
      </c>
      <c r="E764">
        <v>690</v>
      </c>
      <c r="F764">
        <v>642</v>
      </c>
      <c r="G764">
        <v>3</v>
      </c>
      <c r="H764" s="4">
        <v>190000</v>
      </c>
      <c r="I764" s="8" t="str" cm="1">
        <f t="array" ref="I764">_xlfn.IFS(H764&lt;50000,"Under $50K", H764&lt;100000,"$50K–$100K",
     H764&lt;200000,"$100K–$200K", H764&lt;500000,"$200K–$500K",
     H764&gt;=500000,"$500K+")</f>
        <v>$100K–$200K</v>
      </c>
      <c r="J764" s="9" t="str">
        <f t="shared" si="55"/>
        <v>2020s</v>
      </c>
      <c r="K764">
        <f t="shared" si="56"/>
        <v>5.1838272736531216E-2</v>
      </c>
      <c r="L764">
        <f t="shared" si="57"/>
        <v>0.37066974595842955</v>
      </c>
      <c r="M764">
        <f t="shared" si="58"/>
        <v>0.74468085106382986</v>
      </c>
      <c r="N764">
        <f t="shared" si="59"/>
        <v>0.38906295658626355</v>
      </c>
    </row>
    <row r="765" spans="1:14">
      <c r="A765" t="s">
        <v>24</v>
      </c>
      <c r="B765" t="s">
        <v>96</v>
      </c>
      <c r="C765">
        <v>2021</v>
      </c>
      <c r="D765">
        <v>4</v>
      </c>
      <c r="E765">
        <v>641</v>
      </c>
      <c r="F765">
        <v>627</v>
      </c>
      <c r="G765">
        <v>3.5</v>
      </c>
      <c r="H765" s="4">
        <v>218000</v>
      </c>
      <c r="I765" s="8" t="str" cm="1">
        <f t="array" ref="I765">_xlfn.IFS(H765&lt;50000,"Under $50K", H765&lt;100000,"$50K–$100K",
     H765&lt;200000,"$100K–$200K", H765&lt;500000,"$200K–$500K",
     H765&gt;=500000,"$500K+")</f>
        <v>$200K–$500K</v>
      </c>
      <c r="J765" s="9" t="str">
        <f t="shared" si="55"/>
        <v>2020s</v>
      </c>
      <c r="K765">
        <f t="shared" si="56"/>
        <v>4.684794785619717E-2</v>
      </c>
      <c r="L765">
        <f t="shared" si="57"/>
        <v>0.36200923787528866</v>
      </c>
      <c r="M765">
        <f t="shared" si="58"/>
        <v>0.63829787234042556</v>
      </c>
      <c r="N765">
        <f t="shared" si="59"/>
        <v>0.34905168602397046</v>
      </c>
    </row>
    <row r="766" spans="1:14">
      <c r="A766" t="s">
        <v>19</v>
      </c>
      <c r="B766" t="s">
        <v>213</v>
      </c>
      <c r="C766">
        <v>2021</v>
      </c>
      <c r="D766">
        <v>3.9</v>
      </c>
      <c r="E766">
        <v>612</v>
      </c>
      <c r="F766">
        <v>561</v>
      </c>
      <c r="G766">
        <v>3.4</v>
      </c>
      <c r="H766" s="4">
        <v>235000</v>
      </c>
      <c r="I766" s="8" t="str" cm="1">
        <f t="array" ref="I766">_xlfn.IFS(H766&lt;50000,"Under $50K", H766&lt;100000,"$50K–$100K",
     H766&lt;200000,"$100K–$200K", H766&lt;500000,"$200K–$500K",
     H766&gt;=500000,"$500K+")</f>
        <v>$200K–$500K</v>
      </c>
      <c r="J766" s="9" t="str">
        <f t="shared" si="55"/>
        <v>2020s</v>
      </c>
      <c r="K766">
        <f t="shared" si="56"/>
        <v>4.3894490273958649E-2</v>
      </c>
      <c r="L766">
        <f t="shared" si="57"/>
        <v>0.32390300230946883</v>
      </c>
      <c r="M766">
        <f t="shared" si="58"/>
        <v>0.65957446808510645</v>
      </c>
      <c r="N766">
        <f t="shared" si="59"/>
        <v>0.34245732022284464</v>
      </c>
    </row>
    <row r="767" spans="1:14">
      <c r="A767" t="s">
        <v>13</v>
      </c>
      <c r="B767" t="s">
        <v>118</v>
      </c>
      <c r="C767">
        <v>2022</v>
      </c>
      <c r="D767">
        <v>2.5</v>
      </c>
      <c r="E767">
        <v>394</v>
      </c>
      <c r="F767">
        <v>354</v>
      </c>
      <c r="G767">
        <v>3.6</v>
      </c>
      <c r="H767" s="4">
        <v>67600</v>
      </c>
      <c r="I767" s="8" t="str" cm="1">
        <f t="array" ref="I767">_xlfn.IFS(H767&lt;50000,"Under $50K", H767&lt;100000,"$50K–$100K",
     H767&lt;200000,"$100K–$200K", H767&lt;500000,"$200K–$500K",
     H767&gt;=500000,"$500K+")</f>
        <v>$50K–$100K</v>
      </c>
      <c r="J767" s="9" t="str">
        <f t="shared" si="55"/>
        <v>2020s</v>
      </c>
      <c r="K767">
        <f t="shared" si="56"/>
        <v>2.1692636724717385E-2</v>
      </c>
      <c r="L767">
        <f t="shared" si="57"/>
        <v>0.20438799076212472</v>
      </c>
      <c r="M767">
        <f t="shared" si="58"/>
        <v>0.61702127659574468</v>
      </c>
      <c r="N767">
        <f t="shared" si="59"/>
        <v>0.28103396802752895</v>
      </c>
    </row>
    <row r="768" spans="1:14">
      <c r="A768" t="s">
        <v>29</v>
      </c>
      <c r="B768" t="s">
        <v>81</v>
      </c>
      <c r="C768">
        <v>2022</v>
      </c>
      <c r="D768">
        <v>3</v>
      </c>
      <c r="E768">
        <v>671</v>
      </c>
      <c r="F768">
        <v>531</v>
      </c>
      <c r="G768">
        <v>3</v>
      </c>
      <c r="H768" s="4">
        <v>225000</v>
      </c>
      <c r="I768" s="8" t="str" cm="1">
        <f t="array" ref="I768">_xlfn.IFS(H768&lt;50000,"Under $50K", H768&lt;100000,"$50K–$100K",
     H768&lt;200000,"$100K–$200K", H768&lt;500000,"$200K–$500K",
     H768&gt;=500000,"$500K+")</f>
        <v>$200K–$500K</v>
      </c>
      <c r="J768" s="9" t="str">
        <f t="shared" si="55"/>
        <v>2020s</v>
      </c>
      <c r="K768">
        <f t="shared" si="56"/>
        <v>4.9903248803340461E-2</v>
      </c>
      <c r="L768">
        <f t="shared" si="57"/>
        <v>0.30658198614318705</v>
      </c>
      <c r="M768">
        <f t="shared" si="58"/>
        <v>0.74468085106382986</v>
      </c>
      <c r="N768">
        <f t="shared" si="59"/>
        <v>0.36705536200345246</v>
      </c>
    </row>
    <row r="769" spans="1:14">
      <c r="A769" t="s">
        <v>15</v>
      </c>
      <c r="B769" t="s">
        <v>138</v>
      </c>
      <c r="C769">
        <v>2022</v>
      </c>
      <c r="D769">
        <v>3</v>
      </c>
      <c r="E769">
        <v>444</v>
      </c>
      <c r="F769">
        <v>406</v>
      </c>
      <c r="G769">
        <v>3.8</v>
      </c>
      <c r="H769" s="4">
        <v>84595</v>
      </c>
      <c r="I769" s="8" t="str" cm="1">
        <f t="array" ref="I769">_xlfn.IFS(H769&lt;50000,"Under $50K", H769&lt;100000,"$50K–$100K",
     H769&lt;200000,"$100K–$200K", H769&lt;500000,"$200K–$500K",
     H769&gt;=500000,"$500K+")</f>
        <v>$50K–$100K</v>
      </c>
      <c r="J769" s="9" t="str">
        <f t="shared" si="55"/>
        <v>2020s</v>
      </c>
      <c r="K769">
        <f t="shared" si="56"/>
        <v>2.6784804969956208E-2</v>
      </c>
      <c r="L769">
        <f t="shared" si="57"/>
        <v>0.23441108545034642</v>
      </c>
      <c r="M769">
        <f t="shared" si="58"/>
        <v>0.57446808510638303</v>
      </c>
      <c r="N769">
        <f t="shared" si="59"/>
        <v>0.27855465850889521</v>
      </c>
    </row>
    <row r="770" spans="1:14">
      <c r="A770" t="s">
        <v>31</v>
      </c>
      <c r="B770" t="s">
        <v>166</v>
      </c>
      <c r="C770">
        <v>2021</v>
      </c>
      <c r="D770">
        <v>6.2</v>
      </c>
      <c r="E770">
        <v>622</v>
      </c>
      <c r="F770">
        <v>468</v>
      </c>
      <c r="G770">
        <v>3.5</v>
      </c>
      <c r="H770" s="4">
        <v>335000</v>
      </c>
      <c r="I770" s="8" t="str" cm="1">
        <f t="array" ref="I770">_xlfn.IFS(H770&lt;50000,"Under $50K", H770&lt;100000,"$50K–$100K",
     H770&lt;200000,"$100K–$200K", H770&lt;500000,"$200K–$500K",
     H770&gt;=500000,"$500K+")</f>
        <v>$200K–$500K</v>
      </c>
      <c r="J770" s="9" t="str">
        <f t="shared" si="55"/>
        <v>2020s</v>
      </c>
      <c r="K770">
        <f t="shared" si="56"/>
        <v>4.4912923923006415E-2</v>
      </c>
      <c r="L770">
        <f t="shared" si="57"/>
        <v>0.2702078521939954</v>
      </c>
      <c r="M770">
        <f t="shared" si="58"/>
        <v>0.63829787234042556</v>
      </c>
      <c r="N770">
        <f t="shared" si="59"/>
        <v>0.31780621615247578</v>
      </c>
    </row>
    <row r="771" spans="1:14">
      <c r="A771" t="s">
        <v>17</v>
      </c>
      <c r="B771" t="s">
        <v>105</v>
      </c>
      <c r="C771">
        <v>2021</v>
      </c>
      <c r="D771">
        <v>6.2</v>
      </c>
      <c r="E771">
        <v>455</v>
      </c>
      <c r="F771">
        <v>455</v>
      </c>
      <c r="G771">
        <v>4</v>
      </c>
      <c r="H771" s="4">
        <v>42000</v>
      </c>
      <c r="I771" s="8" t="str" cm="1">
        <f t="array" ref="I771">_xlfn.IFS(H771&lt;50000,"Under $50K", H771&lt;100000,"$50K–$100K",
     H771&lt;200000,"$100K–$200K", H771&lt;500000,"$200K–$500K",
     H771&gt;=500000,"$500K+")</f>
        <v>Under $50K</v>
      </c>
      <c r="J771" s="9" t="str">
        <f t="shared" ref="J771:J834" si="60">_xlfn.CONCAT(INT(C771/10)*10,"s")</f>
        <v>2020s</v>
      </c>
      <c r="K771">
        <f t="shared" ref="K771:K834" si="61">(E771-MIN($E$2:$E$1008))/(MAX($E$2:$E$1008)-MIN($E$2:$E$1008))</f>
        <v>2.7905081983908748E-2</v>
      </c>
      <c r="L771">
        <f t="shared" ref="L771:L834" si="62">(F771-MIN($F$2:$F$501))/(MAX($F$2:$F$501)-MIN($F$2:$F$501))</f>
        <v>0.26270207852193994</v>
      </c>
      <c r="M771">
        <f t="shared" ref="M771:M834" si="63">1-((G771-MIN($G$2:$G$501))/(MAX($G$2:$G$501)-MIN($G$2:$G$501)))</f>
        <v>0.53191489361702127</v>
      </c>
      <c r="N771">
        <f t="shared" ref="N771:N834" si="64">AVERAGE(K771,L771,M771)</f>
        <v>0.27417401804095665</v>
      </c>
    </row>
    <row r="772" spans="1:14">
      <c r="A772" t="s">
        <v>36</v>
      </c>
      <c r="B772" t="s">
        <v>198</v>
      </c>
      <c r="C772">
        <v>2022</v>
      </c>
      <c r="D772">
        <v>2</v>
      </c>
      <c r="E772">
        <v>300</v>
      </c>
      <c r="F772">
        <v>280</v>
      </c>
      <c r="G772">
        <v>4.9000000000000004</v>
      </c>
      <c r="H772" s="4">
        <v>63000</v>
      </c>
      <c r="I772" s="8" t="str" cm="1">
        <f t="array" ref="I772">_xlfn.IFS(H772&lt;50000,"Under $50K", H772&lt;100000,"$50K–$100K",
     H772&lt;200000,"$100K–$200K", H772&lt;500000,"$200K–$500K",
     H772&gt;=500000,"$500K+")</f>
        <v>$50K–$100K</v>
      </c>
      <c r="J772" s="9" t="str">
        <f t="shared" si="60"/>
        <v>2020s</v>
      </c>
      <c r="K772">
        <f t="shared" si="61"/>
        <v>1.2119360423668398E-2</v>
      </c>
      <c r="L772">
        <f t="shared" si="62"/>
        <v>0.16166281755196305</v>
      </c>
      <c r="M772">
        <f t="shared" si="63"/>
        <v>0.34042553191489355</v>
      </c>
      <c r="N772">
        <f t="shared" si="64"/>
        <v>0.17140256996350833</v>
      </c>
    </row>
    <row r="773" spans="1:14">
      <c r="A773" t="s">
        <v>24</v>
      </c>
      <c r="B773" t="s">
        <v>87</v>
      </c>
      <c r="C773">
        <v>2020</v>
      </c>
      <c r="D773">
        <v>6.5</v>
      </c>
      <c r="E773">
        <v>759</v>
      </c>
      <c r="F773">
        <v>531</v>
      </c>
      <c r="G773">
        <v>2.8</v>
      </c>
      <c r="H773" s="4">
        <v>573966</v>
      </c>
      <c r="I773" s="8" t="str" cm="1">
        <f t="array" ref="I773">_xlfn.IFS(H773&lt;50000,"Under $50K", H773&lt;100000,"$50K–$100K",
     H773&lt;200000,"$100K–$200K", H773&lt;500000,"$200K–$500K",
     H773&gt;=500000,"$500K+")</f>
        <v>$500K+</v>
      </c>
      <c r="J773" s="9" t="str">
        <f t="shared" si="60"/>
        <v>2020s</v>
      </c>
      <c r="K773">
        <f t="shared" si="61"/>
        <v>5.8865464914960787E-2</v>
      </c>
      <c r="L773">
        <f t="shared" si="62"/>
        <v>0.30658198614318705</v>
      </c>
      <c r="M773">
        <f t="shared" si="63"/>
        <v>0.78723404255319152</v>
      </c>
      <c r="N773">
        <f t="shared" si="64"/>
        <v>0.38422716453711314</v>
      </c>
    </row>
    <row r="774" spans="1:14">
      <c r="A774" t="s">
        <v>19</v>
      </c>
      <c r="B774" t="s">
        <v>88</v>
      </c>
      <c r="C774">
        <v>2022</v>
      </c>
      <c r="D774">
        <v>4</v>
      </c>
      <c r="E774">
        <v>986</v>
      </c>
      <c r="F774">
        <v>590</v>
      </c>
      <c r="G774">
        <v>2.5</v>
      </c>
      <c r="H774" s="4">
        <v>625000</v>
      </c>
      <c r="I774" s="8" t="str" cm="1">
        <f t="array" ref="I774">_xlfn.IFS(H774&lt;50000,"Under $50K", H774&lt;100000,"$50K–$100K",
     H774&lt;200000,"$100K–$200K", H774&lt;500000,"$200K–$500K",
     H774&gt;=500000,"$500K+")</f>
        <v>$500K+</v>
      </c>
      <c r="J774" s="9" t="str">
        <f t="shared" si="60"/>
        <v>2020s</v>
      </c>
      <c r="K774">
        <f t="shared" si="61"/>
        <v>8.1983908748345047E-2</v>
      </c>
      <c r="L774">
        <f t="shared" si="62"/>
        <v>0.34064665127020788</v>
      </c>
      <c r="M774">
        <f t="shared" si="63"/>
        <v>0.85106382978723405</v>
      </c>
      <c r="N774">
        <f t="shared" si="64"/>
        <v>0.42456479660192903</v>
      </c>
    </row>
    <row r="775" spans="1:14">
      <c r="A775" t="s">
        <v>13</v>
      </c>
      <c r="B775" t="s">
        <v>203</v>
      </c>
      <c r="C775">
        <v>2022</v>
      </c>
      <c r="D775">
        <v>2.5</v>
      </c>
      <c r="E775">
        <v>394</v>
      </c>
      <c r="F775">
        <v>354</v>
      </c>
      <c r="G775">
        <v>3.5</v>
      </c>
      <c r="H775" s="4">
        <v>68000</v>
      </c>
      <c r="I775" s="8" t="str" cm="1">
        <f t="array" ref="I775">_xlfn.IFS(H775&lt;50000,"Under $50K", H775&lt;100000,"$50K–$100K",
     H775&lt;200000,"$100K–$200K", H775&lt;500000,"$200K–$500K",
     H775&gt;=500000,"$500K+")</f>
        <v>$50K–$100K</v>
      </c>
      <c r="J775" s="9" t="str">
        <f t="shared" si="60"/>
        <v>2020s</v>
      </c>
      <c r="K775">
        <f t="shared" si="61"/>
        <v>2.1692636724717385E-2</v>
      </c>
      <c r="L775">
        <f t="shared" si="62"/>
        <v>0.20438799076212472</v>
      </c>
      <c r="M775">
        <f t="shared" si="63"/>
        <v>0.63829787234042556</v>
      </c>
      <c r="N775">
        <f t="shared" si="64"/>
        <v>0.28812616660908924</v>
      </c>
    </row>
    <row r="776" spans="1:14">
      <c r="A776" t="s">
        <v>29</v>
      </c>
      <c r="B776" t="s">
        <v>92</v>
      </c>
      <c r="C776">
        <v>2020</v>
      </c>
      <c r="D776">
        <v>4</v>
      </c>
      <c r="E776">
        <v>612</v>
      </c>
      <c r="F776">
        <v>465</v>
      </c>
      <c r="G776">
        <v>3.1</v>
      </c>
      <c r="H776" s="4">
        <v>210000</v>
      </c>
      <c r="I776" s="8" t="str" cm="1">
        <f t="array" ref="I776">_xlfn.IFS(H776&lt;50000,"Under $50K", H776&lt;100000,"$50K–$100K",
     H776&lt;200000,"$100K–$200K", H776&lt;500000,"$200K–$500K",
     H776&gt;=500000,"$500K+")</f>
        <v>$200K–$500K</v>
      </c>
      <c r="J776" s="9" t="str">
        <f t="shared" si="60"/>
        <v>2020s</v>
      </c>
      <c r="K776">
        <f t="shared" si="61"/>
        <v>4.3894490273958649E-2</v>
      </c>
      <c r="L776">
        <f t="shared" si="62"/>
        <v>0.26847575057736722</v>
      </c>
      <c r="M776">
        <f t="shared" si="63"/>
        <v>0.72340425531914887</v>
      </c>
      <c r="N776">
        <f t="shared" si="64"/>
        <v>0.34525816539015824</v>
      </c>
    </row>
    <row r="777" spans="1:14">
      <c r="A777" t="s">
        <v>15</v>
      </c>
      <c r="B777" t="s">
        <v>232</v>
      </c>
      <c r="C777">
        <v>2022</v>
      </c>
      <c r="D777">
        <v>2</v>
      </c>
      <c r="E777">
        <v>255</v>
      </c>
      <c r="F777">
        <v>295</v>
      </c>
      <c r="G777">
        <v>5.2</v>
      </c>
      <c r="H777" s="4">
        <v>50000</v>
      </c>
      <c r="I777" s="8" t="str" cm="1">
        <f t="array" ref="I777">_xlfn.IFS(H777&lt;50000,"Under $50K", H777&lt;100000,"$50K–$100K",
     H777&lt;200000,"$100K–$200K", H777&lt;500000,"$200K–$500K",
     H777&gt;=500000,"$500K+")</f>
        <v>$50K–$100K</v>
      </c>
      <c r="J777" s="9" t="str">
        <f t="shared" si="60"/>
        <v>2020s</v>
      </c>
      <c r="K777">
        <f t="shared" si="61"/>
        <v>7.5364090029534578E-3</v>
      </c>
      <c r="L777">
        <f t="shared" si="62"/>
        <v>0.17032332563510394</v>
      </c>
      <c r="M777">
        <f t="shared" si="63"/>
        <v>0.27659574468085102</v>
      </c>
      <c r="N777">
        <f t="shared" si="64"/>
        <v>0.15148515977296947</v>
      </c>
    </row>
    <row r="778" spans="1:14">
      <c r="A778" t="s">
        <v>31</v>
      </c>
      <c r="B778" t="s">
        <v>82</v>
      </c>
      <c r="C778">
        <v>2015</v>
      </c>
      <c r="D778">
        <v>6.2</v>
      </c>
      <c r="E778">
        <v>622</v>
      </c>
      <c r="F778">
        <v>468</v>
      </c>
      <c r="G778">
        <v>3.6</v>
      </c>
      <c r="H778" s="4">
        <v>200000</v>
      </c>
      <c r="I778" s="8" t="str" cm="1">
        <f t="array" ref="I778">_xlfn.IFS(H778&lt;50000,"Under $50K", H778&lt;100000,"$50K–$100K",
     H778&lt;200000,"$100K–$200K", H778&lt;500000,"$200K–$500K",
     H778&gt;=500000,"$500K+")</f>
        <v>$200K–$500K</v>
      </c>
      <c r="J778" s="9" t="str">
        <f t="shared" si="60"/>
        <v>2010s</v>
      </c>
      <c r="K778">
        <f t="shared" si="61"/>
        <v>4.4912923923006415E-2</v>
      </c>
      <c r="L778">
        <f t="shared" si="62"/>
        <v>0.2702078521939954</v>
      </c>
      <c r="M778">
        <f t="shared" si="63"/>
        <v>0.61702127659574468</v>
      </c>
      <c r="N778">
        <f t="shared" si="64"/>
        <v>0.31071401757091549</v>
      </c>
    </row>
    <row r="779" spans="1:14">
      <c r="A779" t="s">
        <v>17</v>
      </c>
      <c r="B779" t="s">
        <v>233</v>
      </c>
      <c r="C779">
        <v>2022</v>
      </c>
      <c r="D779">
        <v>6.2</v>
      </c>
      <c r="E779">
        <v>455</v>
      </c>
      <c r="F779">
        <v>455</v>
      </c>
      <c r="G779">
        <v>4</v>
      </c>
      <c r="H779" s="4">
        <v>49000</v>
      </c>
      <c r="I779" s="8" t="str" cm="1">
        <f t="array" ref="I779">_xlfn.IFS(H779&lt;50000,"Under $50K", H779&lt;100000,"$50K–$100K",
     H779&lt;200000,"$100K–$200K", H779&lt;500000,"$200K–$500K",
     H779&gt;=500000,"$500K+")</f>
        <v>Under $50K</v>
      </c>
      <c r="J779" s="9" t="str">
        <f t="shared" si="60"/>
        <v>2020s</v>
      </c>
      <c r="K779">
        <f t="shared" si="61"/>
        <v>2.7905081983908748E-2</v>
      </c>
      <c r="L779">
        <f t="shared" si="62"/>
        <v>0.26270207852193994</v>
      </c>
      <c r="M779">
        <f t="shared" si="63"/>
        <v>0.53191489361702127</v>
      </c>
      <c r="N779">
        <f t="shared" si="64"/>
        <v>0.27417401804095665</v>
      </c>
    </row>
    <row r="780" spans="1:14">
      <c r="A780" t="s">
        <v>20</v>
      </c>
      <c r="B780" t="s">
        <v>92</v>
      </c>
      <c r="C780">
        <v>2021</v>
      </c>
      <c r="D780">
        <v>3.5</v>
      </c>
      <c r="E780">
        <v>660</v>
      </c>
      <c r="F780">
        <v>550</v>
      </c>
      <c r="G780">
        <v>2.9</v>
      </c>
      <c r="H780" s="4">
        <v>500000</v>
      </c>
      <c r="I780" s="8" t="str" cm="1">
        <f t="array" ref="I780">_xlfn.IFS(H780&lt;50000,"Under $50K", H780&lt;100000,"$50K–$100K",
     H780&lt;200000,"$100K–$200K", H780&lt;500000,"$200K–$500K",
     H780&gt;=500000,"$500K+")</f>
        <v>$500K+</v>
      </c>
      <c r="J780" s="9" t="str">
        <f t="shared" si="60"/>
        <v>2020s</v>
      </c>
      <c r="K780">
        <f t="shared" si="61"/>
        <v>4.8782971789387924E-2</v>
      </c>
      <c r="L780">
        <f t="shared" si="62"/>
        <v>0.31755196304849886</v>
      </c>
      <c r="M780">
        <f t="shared" si="63"/>
        <v>0.76595744680851063</v>
      </c>
      <c r="N780">
        <f t="shared" si="64"/>
        <v>0.37743079388213246</v>
      </c>
    </row>
    <row r="781" spans="1:14">
      <c r="A781" t="s">
        <v>32</v>
      </c>
      <c r="B781" t="s">
        <v>234</v>
      </c>
      <c r="C781">
        <v>2020</v>
      </c>
      <c r="D781">
        <v>3.7</v>
      </c>
      <c r="E781">
        <v>332</v>
      </c>
      <c r="F781">
        <v>270</v>
      </c>
      <c r="G781">
        <v>5</v>
      </c>
      <c r="H781" s="4">
        <v>30090</v>
      </c>
      <c r="I781" s="8" t="str" cm="1">
        <f t="array" ref="I781">_xlfn.IFS(H781&lt;50000,"Under $50K", H781&lt;100000,"$50K–$100K",
     H781&lt;200000,"$100K–$200K", H781&lt;500000,"$200K–$500K",
     H781&gt;=500000,"$500K+")</f>
        <v>Under $50K</v>
      </c>
      <c r="J781" s="9" t="str">
        <f t="shared" si="60"/>
        <v>2020s</v>
      </c>
      <c r="K781">
        <f t="shared" si="61"/>
        <v>1.5378348100621244E-2</v>
      </c>
      <c r="L781">
        <f t="shared" si="62"/>
        <v>0.15588914549653579</v>
      </c>
      <c r="M781">
        <f t="shared" si="63"/>
        <v>0.31914893617021278</v>
      </c>
      <c r="N781">
        <f t="shared" si="64"/>
        <v>0.16347214325578993</v>
      </c>
    </row>
    <row r="782" spans="1:14">
      <c r="A782" t="s">
        <v>12</v>
      </c>
      <c r="B782" t="s">
        <v>107</v>
      </c>
      <c r="C782">
        <v>2021</v>
      </c>
      <c r="D782">
        <v>4</v>
      </c>
      <c r="E782">
        <v>503</v>
      </c>
      <c r="F782">
        <v>505</v>
      </c>
      <c r="G782">
        <v>3.6</v>
      </c>
      <c r="H782" s="4">
        <v>142086</v>
      </c>
      <c r="I782" s="8" t="str" cm="1">
        <f t="array" ref="I782">_xlfn.IFS(H782&lt;50000,"Under $50K", H782&lt;100000,"$50K–$100K",
     H782&lt;200000,"$100K–$200K", H782&lt;500000,"$200K–$500K",
     H782&gt;=500000,"$500K+")</f>
        <v>$100K–$200K</v>
      </c>
      <c r="J782" s="9" t="str">
        <f t="shared" si="60"/>
        <v>2020s</v>
      </c>
      <c r="K782">
        <f t="shared" si="61"/>
        <v>3.279356349933802E-2</v>
      </c>
      <c r="L782">
        <f t="shared" si="62"/>
        <v>0.29157043879907624</v>
      </c>
      <c r="M782">
        <f t="shared" si="63"/>
        <v>0.61702127659574468</v>
      </c>
      <c r="N782">
        <f t="shared" si="64"/>
        <v>0.31379509296471969</v>
      </c>
    </row>
    <row r="783" spans="1:14">
      <c r="A783" t="s">
        <v>14</v>
      </c>
      <c r="B783" t="s">
        <v>80</v>
      </c>
      <c r="C783">
        <v>2022</v>
      </c>
      <c r="D783">
        <v>6</v>
      </c>
      <c r="E783">
        <v>626</v>
      </c>
      <c r="F783">
        <v>664</v>
      </c>
      <c r="G783">
        <v>3.3</v>
      </c>
      <c r="H783" s="4">
        <v>225000</v>
      </c>
      <c r="I783" s="8" t="str" cm="1">
        <f t="array" ref="I783">_xlfn.IFS(H783&lt;50000,"Under $50K", H783&lt;100000,"$50K–$100K",
     H783&lt;200000,"$100K–$200K", H783&lt;500000,"$200K–$500K",
     H783&gt;=500000,"$500K+")</f>
        <v>$200K–$500K</v>
      </c>
      <c r="J783" s="9" t="str">
        <f t="shared" si="60"/>
        <v>2020s</v>
      </c>
      <c r="K783">
        <f t="shared" si="61"/>
        <v>4.5320297382625524E-2</v>
      </c>
      <c r="L783">
        <f t="shared" si="62"/>
        <v>0.38337182448036949</v>
      </c>
      <c r="M783">
        <f t="shared" si="63"/>
        <v>0.68085106382978733</v>
      </c>
      <c r="N783">
        <f t="shared" si="64"/>
        <v>0.36984772856426079</v>
      </c>
    </row>
    <row r="784" spans="1:14">
      <c r="A784" t="s">
        <v>16</v>
      </c>
      <c r="B784" t="s">
        <v>70</v>
      </c>
      <c r="C784">
        <v>2021</v>
      </c>
      <c r="D784">
        <v>8</v>
      </c>
      <c r="E784">
        <v>1479</v>
      </c>
      <c r="F784">
        <v>1180</v>
      </c>
      <c r="G784">
        <v>2.4</v>
      </c>
      <c r="H784" s="4">
        <v>3000000</v>
      </c>
      <c r="I784" s="8" t="str" cm="1">
        <f t="array" ref="I784">_xlfn.IFS(H784&lt;50000,"Under $50K", H784&lt;100000,"$50K–$100K",
     H784&lt;200000,"$100K–$200K", H784&lt;500000,"$200K–$500K",
     H784&gt;=500000,"$500K+")</f>
        <v>$500K+</v>
      </c>
      <c r="J784" s="9" t="str">
        <f t="shared" si="60"/>
        <v>2020s</v>
      </c>
      <c r="K784">
        <f t="shared" si="61"/>
        <v>0.13219268764639983</v>
      </c>
      <c r="L784">
        <f t="shared" si="62"/>
        <v>0.68129330254041576</v>
      </c>
      <c r="M784">
        <f t="shared" si="63"/>
        <v>0.87234042553191493</v>
      </c>
      <c r="N784">
        <f t="shared" si="64"/>
        <v>0.5619421385729102</v>
      </c>
    </row>
    <row r="785" spans="1:14">
      <c r="A785" t="s">
        <v>18</v>
      </c>
      <c r="B785" t="s">
        <v>71</v>
      </c>
      <c r="C785">
        <v>2022</v>
      </c>
      <c r="D785">
        <v>6.2</v>
      </c>
      <c r="E785">
        <v>717</v>
      </c>
      <c r="F785">
        <v>656</v>
      </c>
      <c r="G785">
        <v>3.5</v>
      </c>
      <c r="H785" s="4">
        <v>68000</v>
      </c>
      <c r="I785" s="8" t="str" cm="1">
        <f t="array" ref="I785">_xlfn.IFS(H785&lt;50000,"Under $50K", H785&lt;100000,"$50K–$100K",
     H785&lt;200000,"$100K–$200K", H785&lt;500000,"$200K–$500K",
     H785&gt;=500000,"$500K+")</f>
        <v>$50K–$100K</v>
      </c>
      <c r="J785" s="9" t="str">
        <f t="shared" si="60"/>
        <v>2020s</v>
      </c>
      <c r="K785">
        <f t="shared" si="61"/>
        <v>5.4588043588960182E-2</v>
      </c>
      <c r="L785">
        <f t="shared" si="62"/>
        <v>0.3787528868360277</v>
      </c>
      <c r="M785">
        <f t="shared" si="63"/>
        <v>0.63829787234042556</v>
      </c>
      <c r="N785">
        <f t="shared" si="64"/>
        <v>0.35721293425513778</v>
      </c>
    </row>
    <row r="786" spans="1:14">
      <c r="A786" t="s">
        <v>21</v>
      </c>
      <c r="B786" t="s">
        <v>72</v>
      </c>
      <c r="C786">
        <v>2022</v>
      </c>
      <c r="D786">
        <v>2</v>
      </c>
      <c r="E786">
        <v>296</v>
      </c>
      <c r="F786">
        <v>295</v>
      </c>
      <c r="G786">
        <v>5.4</v>
      </c>
      <c r="H786" s="4">
        <v>63700</v>
      </c>
      <c r="I786" s="8" t="str" cm="1">
        <f t="array" ref="I786">_xlfn.IFS(H786&lt;50000,"Under $50K", H786&lt;100000,"$50K–$100K",
     H786&lt;200000,"$100K–$200K", H786&lt;500000,"$200K–$500K",
     H786&gt;=500000,"$500K+")</f>
        <v>$50K–$100K</v>
      </c>
      <c r="J786" s="9" t="str">
        <f t="shared" si="60"/>
        <v>2020s</v>
      </c>
      <c r="K786">
        <f t="shared" si="61"/>
        <v>1.1711986964049292E-2</v>
      </c>
      <c r="L786">
        <f t="shared" si="62"/>
        <v>0.17032332563510394</v>
      </c>
      <c r="M786">
        <f t="shared" si="63"/>
        <v>0.23404255319148926</v>
      </c>
      <c r="N786">
        <f t="shared" si="64"/>
        <v>0.13869262193021417</v>
      </c>
    </row>
    <row r="787" spans="1:14">
      <c r="A787" t="s">
        <v>26</v>
      </c>
      <c r="B787" t="s">
        <v>75</v>
      </c>
      <c r="C787">
        <v>2021</v>
      </c>
      <c r="D787">
        <v>3.5</v>
      </c>
      <c r="E787">
        <v>416</v>
      </c>
      <c r="F787">
        <v>317</v>
      </c>
      <c r="G787">
        <v>3.8</v>
      </c>
      <c r="H787" s="4">
        <v>100000</v>
      </c>
      <c r="I787" s="8" t="str" cm="1">
        <f t="array" ref="I787">_xlfn.IFS(H787&lt;50000,"Under $50K", H787&lt;100000,"$50K–$100K",
     H787&lt;200000,"$100K–$200K", H787&lt;500000,"$200K–$500K",
     H787&gt;=500000,"$500K+")</f>
        <v>$100K–$200K</v>
      </c>
      <c r="J787" s="9" t="str">
        <f t="shared" si="60"/>
        <v>2020s</v>
      </c>
      <c r="K787">
        <f t="shared" si="61"/>
        <v>2.3933190752622468E-2</v>
      </c>
      <c r="L787">
        <f t="shared" si="62"/>
        <v>0.18302540415704388</v>
      </c>
      <c r="M787">
        <f t="shared" si="63"/>
        <v>0.57446808510638303</v>
      </c>
      <c r="N787">
        <f t="shared" si="64"/>
        <v>0.26047556000534983</v>
      </c>
    </row>
    <row r="788" spans="1:14">
      <c r="A788" t="s">
        <v>27</v>
      </c>
      <c r="B788" t="s">
        <v>76</v>
      </c>
      <c r="C788">
        <v>2022</v>
      </c>
      <c r="D788">
        <v>4.7</v>
      </c>
      <c r="E788">
        <v>454</v>
      </c>
      <c r="F788">
        <v>384</v>
      </c>
      <c r="G788">
        <v>4.7</v>
      </c>
      <c r="H788" s="4">
        <v>150980</v>
      </c>
      <c r="I788" s="8" t="str" cm="1">
        <f t="array" ref="I788">_xlfn.IFS(H788&lt;50000,"Under $50K", H788&lt;100000,"$50K–$100K",
     H788&lt;200000,"$100K–$200K", H788&lt;500000,"$200K–$500K",
     H788&gt;=500000,"$500K+")</f>
        <v>$100K–$200K</v>
      </c>
      <c r="J788" s="9" t="str">
        <f t="shared" si="60"/>
        <v>2020s</v>
      </c>
      <c r="K788">
        <f t="shared" si="61"/>
        <v>2.7803238619003971E-2</v>
      </c>
      <c r="L788">
        <f t="shared" si="62"/>
        <v>0.22170900692840648</v>
      </c>
      <c r="M788">
        <f t="shared" si="63"/>
        <v>0.38297872340425532</v>
      </c>
      <c r="N788">
        <f t="shared" si="64"/>
        <v>0.2108303229838886</v>
      </c>
    </row>
    <row r="789" spans="1:14">
      <c r="A789" t="s">
        <v>12</v>
      </c>
      <c r="B789" t="s">
        <v>132</v>
      </c>
      <c r="C789">
        <v>2021</v>
      </c>
      <c r="D789">
        <v>5.2</v>
      </c>
      <c r="E789">
        <v>715</v>
      </c>
      <c r="F789">
        <v>664</v>
      </c>
      <c r="G789">
        <v>3.2</v>
      </c>
      <c r="H789" s="4">
        <v>304995</v>
      </c>
      <c r="I789" s="8" t="str" cm="1">
        <f t="array" ref="I789">_xlfn.IFS(H789&lt;50000,"Under $50K", H789&lt;100000,"$50K–$100K",
     H789&lt;200000,"$100K–$200K", H789&lt;500000,"$200K–$500K",
     H789&gt;=500000,"$500K+")</f>
        <v>$200K–$500K</v>
      </c>
      <c r="J789" s="9" t="str">
        <f t="shared" si="60"/>
        <v>2020s</v>
      </c>
      <c r="K789">
        <f t="shared" si="61"/>
        <v>5.4384356859150627E-2</v>
      </c>
      <c r="L789">
        <f t="shared" si="62"/>
        <v>0.38337182448036949</v>
      </c>
      <c r="M789">
        <f t="shared" si="63"/>
        <v>0.7021276595744681</v>
      </c>
      <c r="N789">
        <f t="shared" si="64"/>
        <v>0.37996128030466275</v>
      </c>
    </row>
    <row r="790" spans="1:14">
      <c r="A790" t="s">
        <v>26</v>
      </c>
      <c r="B790" t="s">
        <v>75</v>
      </c>
      <c r="C790">
        <v>2021</v>
      </c>
      <c r="D790">
        <v>3.5</v>
      </c>
      <c r="E790">
        <v>416</v>
      </c>
      <c r="F790">
        <v>317</v>
      </c>
      <c r="G790">
        <v>3.8</v>
      </c>
      <c r="H790" s="4">
        <v>98395</v>
      </c>
      <c r="I790" s="8" t="str" cm="1">
        <f t="array" ref="I790">_xlfn.IFS(H790&lt;50000,"Under $50K", H790&lt;100000,"$50K–$100K",
     H790&lt;200000,"$100K–$200K", H790&lt;500000,"$200K–$500K",
     H790&gt;=500000,"$500K+")</f>
        <v>$50K–$100K</v>
      </c>
      <c r="J790" s="9" t="str">
        <f t="shared" si="60"/>
        <v>2020s</v>
      </c>
      <c r="K790">
        <f t="shared" si="61"/>
        <v>2.3933190752622468E-2</v>
      </c>
      <c r="L790">
        <f t="shared" si="62"/>
        <v>0.18302540415704388</v>
      </c>
      <c r="M790">
        <f t="shared" si="63"/>
        <v>0.57446808510638303</v>
      </c>
      <c r="N790">
        <f t="shared" si="64"/>
        <v>0.26047556000534983</v>
      </c>
    </row>
    <row r="791" spans="1:14">
      <c r="A791" t="s">
        <v>36</v>
      </c>
      <c r="B791" t="s">
        <v>133</v>
      </c>
      <c r="C791">
        <v>2021</v>
      </c>
      <c r="D791">
        <v>4</v>
      </c>
      <c r="E791">
        <v>689</v>
      </c>
      <c r="F791">
        <v>642</v>
      </c>
      <c r="G791">
        <v>3</v>
      </c>
      <c r="H791" s="4">
        <v>190000</v>
      </c>
      <c r="I791" s="8" t="str" cm="1">
        <f t="array" ref="I791">_xlfn.IFS(H791&lt;50000,"Under $50K", H791&lt;100000,"$50K–$100K",
     H791&lt;200000,"$100K–$200K", H791&lt;500000,"$200K–$500K",
     H791&gt;=500000,"$500K+")</f>
        <v>$100K–$200K</v>
      </c>
      <c r="J791" s="9" t="str">
        <f t="shared" si="60"/>
        <v>2020s</v>
      </c>
      <c r="K791">
        <f t="shared" si="61"/>
        <v>5.1736429371626438E-2</v>
      </c>
      <c r="L791">
        <f t="shared" si="62"/>
        <v>0.37066974595842955</v>
      </c>
      <c r="M791">
        <f t="shared" si="63"/>
        <v>0.74468085106382986</v>
      </c>
      <c r="N791">
        <f t="shared" si="64"/>
        <v>0.38902900879796193</v>
      </c>
    </row>
    <row r="792" spans="1:14">
      <c r="A792" t="s">
        <v>24</v>
      </c>
      <c r="B792" t="s">
        <v>87</v>
      </c>
      <c r="C792">
        <v>2021</v>
      </c>
      <c r="D792">
        <v>6.5</v>
      </c>
      <c r="E792">
        <v>759</v>
      </c>
      <c r="F792">
        <v>531</v>
      </c>
      <c r="G792">
        <v>2.8</v>
      </c>
      <c r="H792" s="4">
        <v>517000</v>
      </c>
      <c r="I792" s="8" t="str" cm="1">
        <f t="array" ref="I792">_xlfn.IFS(H792&lt;50000,"Under $50K", H792&lt;100000,"$50K–$100K",
     H792&lt;200000,"$100K–$200K", H792&lt;500000,"$200K–$500K",
     H792&gt;=500000,"$500K+")</f>
        <v>$500K+</v>
      </c>
      <c r="J792" s="9" t="str">
        <f t="shared" si="60"/>
        <v>2020s</v>
      </c>
      <c r="K792">
        <f t="shared" si="61"/>
        <v>5.8865464914960787E-2</v>
      </c>
      <c r="L792">
        <f t="shared" si="62"/>
        <v>0.30658198614318705</v>
      </c>
      <c r="M792">
        <f t="shared" si="63"/>
        <v>0.78723404255319152</v>
      </c>
      <c r="N792">
        <f t="shared" si="64"/>
        <v>0.38422716453711314</v>
      </c>
    </row>
    <row r="793" spans="1:14">
      <c r="A793" t="s">
        <v>19</v>
      </c>
      <c r="B793" t="s">
        <v>88</v>
      </c>
      <c r="C793">
        <v>2021</v>
      </c>
      <c r="D793">
        <v>4</v>
      </c>
      <c r="E793">
        <v>986</v>
      </c>
      <c r="F793">
        <v>590</v>
      </c>
      <c r="G793">
        <v>2.5</v>
      </c>
      <c r="H793" s="4">
        <v>625000</v>
      </c>
      <c r="I793" s="8" t="str" cm="1">
        <f t="array" ref="I793">_xlfn.IFS(H793&lt;50000,"Under $50K", H793&lt;100000,"$50K–$100K",
     H793&lt;200000,"$100K–$200K", H793&lt;500000,"$200K–$500K",
     H793&gt;=500000,"$500K+")</f>
        <v>$500K+</v>
      </c>
      <c r="J793" s="9" t="str">
        <f t="shared" si="60"/>
        <v>2020s</v>
      </c>
      <c r="K793">
        <f t="shared" si="61"/>
        <v>8.1983908748345047E-2</v>
      </c>
      <c r="L793">
        <f t="shared" si="62"/>
        <v>0.34064665127020788</v>
      </c>
      <c r="M793">
        <f t="shared" si="63"/>
        <v>0.85106382978723405</v>
      </c>
      <c r="N793">
        <f t="shared" si="64"/>
        <v>0.42456479660192903</v>
      </c>
    </row>
    <row r="794" spans="1:14">
      <c r="A794" t="s">
        <v>13</v>
      </c>
      <c r="B794" t="s">
        <v>89</v>
      </c>
      <c r="C794">
        <v>2022</v>
      </c>
      <c r="D794">
        <v>4</v>
      </c>
      <c r="E794">
        <v>591</v>
      </c>
      <c r="F794">
        <v>590</v>
      </c>
      <c r="G794">
        <v>3.5</v>
      </c>
      <c r="H794" s="4">
        <v>117000</v>
      </c>
      <c r="I794" s="8" t="str" cm="1">
        <f t="array" ref="I794">_xlfn.IFS(H794&lt;50000,"Under $50K", H794&lt;100000,"$50K–$100K",
     H794&lt;200000,"$100K–$200K", H794&lt;500000,"$200K–$500K",
     H794&gt;=500000,"$500K+")</f>
        <v>$100K–$200K</v>
      </c>
      <c r="J794" s="9" t="str">
        <f t="shared" si="60"/>
        <v>2020s</v>
      </c>
      <c r="K794">
        <f t="shared" si="61"/>
        <v>4.1755779610958346E-2</v>
      </c>
      <c r="L794">
        <f t="shared" si="62"/>
        <v>0.34064665127020788</v>
      </c>
      <c r="M794">
        <f t="shared" si="63"/>
        <v>0.63829787234042556</v>
      </c>
      <c r="N794">
        <f t="shared" si="64"/>
        <v>0.34023343440719728</v>
      </c>
    </row>
    <row r="795" spans="1:14">
      <c r="A795" t="s">
        <v>31</v>
      </c>
      <c r="B795" t="s">
        <v>155</v>
      </c>
      <c r="C795">
        <v>2021</v>
      </c>
      <c r="D795">
        <v>4</v>
      </c>
      <c r="E795">
        <v>603</v>
      </c>
      <c r="F795">
        <v>664</v>
      </c>
      <c r="G795">
        <v>3.4</v>
      </c>
      <c r="H795" s="4">
        <v>168000</v>
      </c>
      <c r="I795" s="8" t="str" cm="1">
        <f t="array" ref="I795">_xlfn.IFS(H795&lt;50000,"Under $50K", H795&lt;100000,"$50K–$100K",
     H795&lt;200000,"$100K–$200K", H795&lt;500000,"$200K–$500K",
     H795&gt;=500000,"$500K+")</f>
        <v>$100K–$200K</v>
      </c>
      <c r="J795" s="9" t="str">
        <f t="shared" si="60"/>
        <v>2020s</v>
      </c>
      <c r="K795">
        <f t="shared" si="61"/>
        <v>4.2977899989815667E-2</v>
      </c>
      <c r="L795">
        <f t="shared" si="62"/>
        <v>0.38337182448036949</v>
      </c>
      <c r="M795">
        <f t="shared" si="63"/>
        <v>0.65957446808510645</v>
      </c>
      <c r="N795">
        <f t="shared" si="64"/>
        <v>0.36197473085176385</v>
      </c>
    </row>
    <row r="796" spans="1:14">
      <c r="A796" t="s">
        <v>17</v>
      </c>
      <c r="B796" t="s">
        <v>91</v>
      </c>
      <c r="C796">
        <v>2021</v>
      </c>
      <c r="D796">
        <v>6.2</v>
      </c>
      <c r="E796">
        <v>650</v>
      </c>
      <c r="F796">
        <v>650</v>
      </c>
      <c r="G796">
        <v>3.5</v>
      </c>
      <c r="H796" s="4">
        <v>64500</v>
      </c>
      <c r="I796" s="8" t="str" cm="1">
        <f t="array" ref="I796">_xlfn.IFS(H796&lt;50000,"Under $50K", H796&lt;100000,"$50K–$100K",
     H796&lt;200000,"$100K–$200K", H796&lt;500000,"$200K–$500K",
     H796&gt;=500000,"$500K+")</f>
        <v>$50K–$100K</v>
      </c>
      <c r="J796" s="9" t="str">
        <f t="shared" si="60"/>
        <v>2020s</v>
      </c>
      <c r="K796">
        <f t="shared" si="61"/>
        <v>4.7764538140340158E-2</v>
      </c>
      <c r="L796">
        <f t="shared" si="62"/>
        <v>0.37528868360277134</v>
      </c>
      <c r="M796">
        <f t="shared" si="63"/>
        <v>0.63829787234042556</v>
      </c>
      <c r="N796">
        <f t="shared" si="64"/>
        <v>0.35378369802784571</v>
      </c>
    </row>
    <row r="797" spans="1:14">
      <c r="A797" t="s">
        <v>20</v>
      </c>
      <c r="B797" t="s">
        <v>92</v>
      </c>
      <c r="C797">
        <v>2021</v>
      </c>
      <c r="D797">
        <v>3.5</v>
      </c>
      <c r="E797">
        <v>660</v>
      </c>
      <c r="F797">
        <v>550</v>
      </c>
      <c r="G797">
        <v>2.8</v>
      </c>
      <c r="H797" s="4">
        <v>500000</v>
      </c>
      <c r="I797" s="8" t="str" cm="1">
        <f t="array" ref="I797">_xlfn.IFS(H797&lt;50000,"Under $50K", H797&lt;100000,"$50K–$100K",
     H797&lt;200000,"$100K–$200K", H797&lt;500000,"$200K–$500K",
     H797&gt;=500000,"$500K+")</f>
        <v>$500K+</v>
      </c>
      <c r="J797" s="9" t="str">
        <f t="shared" si="60"/>
        <v>2020s</v>
      </c>
      <c r="K797">
        <f t="shared" si="61"/>
        <v>4.8782971789387924E-2</v>
      </c>
      <c r="L797">
        <f t="shared" si="62"/>
        <v>0.31755196304849886</v>
      </c>
      <c r="M797">
        <f t="shared" si="63"/>
        <v>0.78723404255319152</v>
      </c>
      <c r="N797">
        <f t="shared" si="64"/>
        <v>0.38452299246369276</v>
      </c>
    </row>
    <row r="798" spans="1:14">
      <c r="A798" t="s">
        <v>32</v>
      </c>
      <c r="B798" t="s">
        <v>93</v>
      </c>
      <c r="C798">
        <v>2021</v>
      </c>
      <c r="D798">
        <v>3.7</v>
      </c>
      <c r="E798">
        <v>350</v>
      </c>
      <c r="F798">
        <v>276</v>
      </c>
      <c r="G798">
        <v>4.7</v>
      </c>
      <c r="H798" s="4">
        <v>46000</v>
      </c>
      <c r="I798" s="8" t="str" cm="1">
        <f t="array" ref="I798">_xlfn.IFS(H798&lt;50000,"Under $50K", H798&lt;100000,"$50K–$100K",
     H798&lt;200000,"$100K–$200K", H798&lt;500000,"$200K–$500K",
     H798&gt;=500000,"$500K+")</f>
        <v>Under $50K</v>
      </c>
      <c r="J798" s="9" t="str">
        <f t="shared" si="60"/>
        <v>2020s</v>
      </c>
      <c r="K798">
        <f t="shared" si="61"/>
        <v>1.7211528668907222E-2</v>
      </c>
      <c r="L798">
        <f t="shared" si="62"/>
        <v>0.15935334872979215</v>
      </c>
      <c r="M798">
        <f t="shared" si="63"/>
        <v>0.38297872340425532</v>
      </c>
      <c r="N798">
        <f t="shared" si="64"/>
        <v>0.18651453360098488</v>
      </c>
    </row>
    <row r="799" spans="1:14">
      <c r="A799" t="s">
        <v>36</v>
      </c>
      <c r="B799" t="s">
        <v>125</v>
      </c>
      <c r="C799">
        <v>2022</v>
      </c>
      <c r="D799">
        <v>4</v>
      </c>
      <c r="E799">
        <v>414</v>
      </c>
      <c r="F799">
        <v>309</v>
      </c>
      <c r="G799">
        <v>4.2</v>
      </c>
      <c r="H799" s="4">
        <v>102000</v>
      </c>
      <c r="I799" s="8" t="str" cm="1">
        <f t="array" ref="I799">_xlfn.IFS(H799&lt;50000,"Under $50K", H799&lt;100000,"$50K–$100K",
     H799&lt;200000,"$100K–$200K", H799&lt;500000,"$200K–$500K",
     H799&gt;=500000,"$500K+")</f>
        <v>$100K–$200K</v>
      </c>
      <c r="J799" s="9" t="str">
        <f t="shared" si="60"/>
        <v>2020s</v>
      </c>
      <c r="K799">
        <f t="shared" si="61"/>
        <v>2.3729504022812913E-2</v>
      </c>
      <c r="L799">
        <f t="shared" si="62"/>
        <v>0.17840646651270209</v>
      </c>
      <c r="M799">
        <f t="shared" si="63"/>
        <v>0.4893617021276595</v>
      </c>
      <c r="N799">
        <f t="shared" si="64"/>
        <v>0.23049922422105817</v>
      </c>
    </row>
    <row r="800" spans="1:14">
      <c r="A800" t="s">
        <v>30</v>
      </c>
      <c r="B800" t="s">
        <v>202</v>
      </c>
      <c r="C800">
        <v>2021</v>
      </c>
      <c r="D800">
        <v>4</v>
      </c>
      <c r="E800">
        <v>503</v>
      </c>
      <c r="F800">
        <v>516</v>
      </c>
      <c r="G800">
        <v>3.7</v>
      </c>
      <c r="H800" s="4">
        <v>77500</v>
      </c>
      <c r="I800" s="8" t="str" cm="1">
        <f t="array" ref="I800">_xlfn.IFS(H800&lt;50000,"Under $50K", H800&lt;100000,"$50K–$100K",
     H800&lt;200000,"$100K–$200K", H800&lt;500000,"$200K–$500K",
     H800&gt;=500000,"$500K+")</f>
        <v>$50K–$100K</v>
      </c>
      <c r="J800" s="9" t="str">
        <f t="shared" si="60"/>
        <v>2020s</v>
      </c>
      <c r="K800">
        <f t="shared" si="61"/>
        <v>3.279356349933802E-2</v>
      </c>
      <c r="L800">
        <f t="shared" si="62"/>
        <v>0.29792147806004621</v>
      </c>
      <c r="M800">
        <f t="shared" si="63"/>
        <v>0.5957446808510638</v>
      </c>
      <c r="N800">
        <f t="shared" si="64"/>
        <v>0.30881990747014937</v>
      </c>
    </row>
    <row r="801" spans="1:14">
      <c r="A801" t="s">
        <v>12</v>
      </c>
      <c r="B801" t="s">
        <v>107</v>
      </c>
      <c r="C801">
        <v>2021</v>
      </c>
      <c r="D801">
        <v>4</v>
      </c>
      <c r="E801">
        <v>503</v>
      </c>
      <c r="F801">
        <v>505</v>
      </c>
      <c r="G801">
        <v>3.5</v>
      </c>
      <c r="H801" s="4">
        <v>147000</v>
      </c>
      <c r="I801" s="8" t="str" cm="1">
        <f t="array" ref="I801">_xlfn.IFS(H801&lt;50000,"Under $50K", H801&lt;100000,"$50K–$100K",
     H801&lt;200000,"$100K–$200K", H801&lt;500000,"$200K–$500K",
     H801&gt;=500000,"$500K+")</f>
        <v>$100K–$200K</v>
      </c>
      <c r="J801" s="9" t="str">
        <f t="shared" si="60"/>
        <v>2020s</v>
      </c>
      <c r="K801">
        <f t="shared" si="61"/>
        <v>3.279356349933802E-2</v>
      </c>
      <c r="L801">
        <f t="shared" si="62"/>
        <v>0.29157043879907624</v>
      </c>
      <c r="M801">
        <f t="shared" si="63"/>
        <v>0.63829787234042556</v>
      </c>
      <c r="N801">
        <f t="shared" si="64"/>
        <v>0.32088729154627993</v>
      </c>
    </row>
    <row r="802" spans="1:14">
      <c r="A802" t="s">
        <v>29</v>
      </c>
      <c r="B802" t="s">
        <v>103</v>
      </c>
      <c r="C802">
        <v>2021</v>
      </c>
      <c r="D802">
        <v>3.8</v>
      </c>
      <c r="E802">
        <v>562</v>
      </c>
      <c r="F802">
        <v>443</v>
      </c>
      <c r="G802">
        <v>3.1</v>
      </c>
      <c r="H802" s="4">
        <v>193000</v>
      </c>
      <c r="I802" s="8" t="str" cm="1">
        <f t="array" ref="I802">_xlfn.IFS(H802&lt;50000,"Under $50K", H802&lt;100000,"$50K–$100K",
     H802&lt;200000,"$100K–$200K", H802&lt;500000,"$200K–$500K",
     H802&gt;=500000,"$500K+")</f>
        <v>$100K–$200K</v>
      </c>
      <c r="J802" s="9" t="str">
        <f t="shared" si="60"/>
        <v>2020s</v>
      </c>
      <c r="K802">
        <f t="shared" si="61"/>
        <v>3.8802322028719832E-2</v>
      </c>
      <c r="L802">
        <f t="shared" si="62"/>
        <v>0.25577367205542723</v>
      </c>
      <c r="M802">
        <f t="shared" si="63"/>
        <v>0.72340425531914887</v>
      </c>
      <c r="N802">
        <f t="shared" si="64"/>
        <v>0.33932674980109861</v>
      </c>
    </row>
    <row r="803" spans="1:14">
      <c r="A803" t="s">
        <v>15</v>
      </c>
      <c r="B803" t="s">
        <v>111</v>
      </c>
      <c r="C803">
        <v>2022</v>
      </c>
      <c r="D803">
        <v>4.4000000000000004</v>
      </c>
      <c r="E803">
        <v>600</v>
      </c>
      <c r="F803">
        <v>553</v>
      </c>
      <c r="G803">
        <v>3.2</v>
      </c>
      <c r="H803" s="4">
        <v>103500</v>
      </c>
      <c r="I803" s="8" t="str" cm="1">
        <f t="array" ref="I803">_xlfn.IFS(H803&lt;50000,"Under $50K", H803&lt;100000,"$50K–$100K",
     H803&lt;200000,"$100K–$200K", H803&lt;500000,"$200K–$500K",
     H803&gt;=500000,"$500K+")</f>
        <v>$100K–$200K</v>
      </c>
      <c r="J803" s="9" t="str">
        <f t="shared" si="60"/>
        <v>2020s</v>
      </c>
      <c r="K803">
        <f t="shared" si="61"/>
        <v>4.2672369895101335E-2</v>
      </c>
      <c r="L803">
        <f t="shared" si="62"/>
        <v>0.31928406466512704</v>
      </c>
      <c r="M803">
        <f t="shared" si="63"/>
        <v>0.7021276595744681</v>
      </c>
      <c r="N803">
        <f t="shared" si="64"/>
        <v>0.35469469804489884</v>
      </c>
    </row>
    <row r="804" spans="1:14">
      <c r="A804" t="s">
        <v>18</v>
      </c>
      <c r="B804" t="s">
        <v>71</v>
      </c>
      <c r="C804">
        <v>2021</v>
      </c>
      <c r="D804">
        <v>6.2</v>
      </c>
      <c r="E804">
        <v>717</v>
      </c>
      <c r="F804">
        <v>656</v>
      </c>
      <c r="G804">
        <v>3.5</v>
      </c>
      <c r="H804" s="4">
        <v>64000</v>
      </c>
      <c r="I804" s="8" t="str" cm="1">
        <f t="array" ref="I804">_xlfn.IFS(H804&lt;50000,"Under $50K", H804&lt;100000,"$50K–$100K",
     H804&lt;200000,"$100K–$200K", H804&lt;500000,"$200K–$500K",
     H804&gt;=500000,"$500K+")</f>
        <v>$50K–$100K</v>
      </c>
      <c r="J804" s="9" t="str">
        <f t="shared" si="60"/>
        <v>2020s</v>
      </c>
      <c r="K804">
        <f t="shared" si="61"/>
        <v>5.4588043588960182E-2</v>
      </c>
      <c r="L804">
        <f t="shared" si="62"/>
        <v>0.3787528868360277</v>
      </c>
      <c r="M804">
        <f t="shared" si="63"/>
        <v>0.63829787234042556</v>
      </c>
      <c r="N804">
        <f t="shared" si="64"/>
        <v>0.35721293425513778</v>
      </c>
    </row>
    <row r="805" spans="1:14">
      <c r="A805" t="s">
        <v>25</v>
      </c>
      <c r="B805" t="s">
        <v>74</v>
      </c>
      <c r="C805">
        <v>2021</v>
      </c>
      <c r="D805">
        <v>5</v>
      </c>
      <c r="E805">
        <v>471</v>
      </c>
      <c r="F805">
        <v>398</v>
      </c>
      <c r="G805">
        <v>4.4000000000000004</v>
      </c>
      <c r="H805" s="4">
        <v>92950</v>
      </c>
      <c r="I805" s="8" t="str" cm="1">
        <f t="array" ref="I805">_xlfn.IFS(H805&lt;50000,"Under $50K", H805&lt;100000,"$50K–$100K",
     H805&lt;200000,"$100K–$200K", H805&lt;500000,"$200K–$500K",
     H805&gt;=500000,"$500K+")</f>
        <v>$50K–$100K</v>
      </c>
      <c r="J805" s="9" t="str">
        <f t="shared" si="60"/>
        <v>2020s</v>
      </c>
      <c r="K805">
        <f t="shared" si="61"/>
        <v>2.9534575822385171E-2</v>
      </c>
      <c r="L805">
        <f t="shared" si="62"/>
        <v>0.22979214780600463</v>
      </c>
      <c r="M805">
        <f t="shared" si="63"/>
        <v>0.44680851063829774</v>
      </c>
      <c r="N805">
        <f t="shared" si="64"/>
        <v>0.23537841142222918</v>
      </c>
    </row>
    <row r="806" spans="1:14">
      <c r="A806" t="s">
        <v>30</v>
      </c>
      <c r="B806" t="s">
        <v>235</v>
      </c>
      <c r="C806">
        <v>2021</v>
      </c>
      <c r="D806">
        <v>4</v>
      </c>
      <c r="E806">
        <v>630</v>
      </c>
      <c r="F806">
        <v>664</v>
      </c>
      <c r="G806">
        <v>3.1</v>
      </c>
      <c r="H806" s="4">
        <v>162000</v>
      </c>
      <c r="I806" s="8" t="str" cm="1">
        <f t="array" ref="I806">_xlfn.IFS(H806&lt;50000,"Under $50K", H806&lt;100000,"$50K–$100K",
     H806&lt;200000,"$100K–$200K", H806&lt;500000,"$200K–$500K",
     H806&gt;=500000,"$500K+")</f>
        <v>$100K–$200K</v>
      </c>
      <c r="J806" s="9" t="str">
        <f t="shared" si="60"/>
        <v>2020s</v>
      </c>
      <c r="K806">
        <f t="shared" si="61"/>
        <v>4.5727670842244626E-2</v>
      </c>
      <c r="L806">
        <f t="shared" si="62"/>
        <v>0.38337182448036949</v>
      </c>
      <c r="M806">
        <f t="shared" si="63"/>
        <v>0.72340425531914887</v>
      </c>
      <c r="N806">
        <f t="shared" si="64"/>
        <v>0.38416791688058766</v>
      </c>
    </row>
    <row r="807" spans="1:14">
      <c r="A807" t="s">
        <v>13</v>
      </c>
      <c r="B807" t="s">
        <v>118</v>
      </c>
      <c r="C807">
        <v>2021</v>
      </c>
      <c r="D807">
        <v>2.5</v>
      </c>
      <c r="E807">
        <v>394</v>
      </c>
      <c r="F807">
        <v>354</v>
      </c>
      <c r="G807">
        <v>3.6</v>
      </c>
      <c r="H807" s="4">
        <v>67600</v>
      </c>
      <c r="I807" s="8" t="str" cm="1">
        <f t="array" ref="I807">_xlfn.IFS(H807&lt;50000,"Under $50K", H807&lt;100000,"$50K–$100K",
     H807&lt;200000,"$100K–$200K", H807&lt;500000,"$200K–$500K",
     H807&gt;=500000,"$500K+")</f>
        <v>$50K–$100K</v>
      </c>
      <c r="J807" s="9" t="str">
        <f t="shared" si="60"/>
        <v>2020s</v>
      </c>
      <c r="K807">
        <f t="shared" si="61"/>
        <v>2.1692636724717385E-2</v>
      </c>
      <c r="L807">
        <f t="shared" si="62"/>
        <v>0.20438799076212472</v>
      </c>
      <c r="M807">
        <f t="shared" si="63"/>
        <v>0.61702127659574468</v>
      </c>
      <c r="N807">
        <f t="shared" si="64"/>
        <v>0.28103396802752895</v>
      </c>
    </row>
    <row r="808" spans="1:14">
      <c r="A808" t="s">
        <v>8</v>
      </c>
      <c r="B808" t="s">
        <v>123</v>
      </c>
      <c r="C808">
        <v>2021</v>
      </c>
      <c r="D808">
        <v>3.5</v>
      </c>
      <c r="E808">
        <v>573</v>
      </c>
      <c r="F808">
        <v>476</v>
      </c>
      <c r="G808">
        <v>2.9</v>
      </c>
      <c r="H808" s="4">
        <v>157500</v>
      </c>
      <c r="I808" s="8" t="str" cm="1">
        <f t="array" ref="I808">_xlfn.IFS(H808&lt;50000,"Under $50K", H808&lt;100000,"$50K–$100K",
     H808&lt;200000,"$100K–$200K", H808&lt;500000,"$200K–$500K",
     H808&gt;=500000,"$500K+")</f>
        <v>$100K–$200K</v>
      </c>
      <c r="J808" s="9" t="str">
        <f t="shared" si="60"/>
        <v>2020s</v>
      </c>
      <c r="K808">
        <f t="shared" si="61"/>
        <v>3.9922599042672369E-2</v>
      </c>
      <c r="L808">
        <f t="shared" si="62"/>
        <v>0.27482678983833719</v>
      </c>
      <c r="M808">
        <f t="shared" si="63"/>
        <v>0.76595744680851063</v>
      </c>
      <c r="N808">
        <f t="shared" si="64"/>
        <v>0.36023561189650671</v>
      </c>
    </row>
    <row r="809" spans="1:14">
      <c r="A809" t="s">
        <v>36</v>
      </c>
      <c r="B809" t="s">
        <v>86</v>
      </c>
      <c r="C809">
        <v>2021</v>
      </c>
      <c r="D809">
        <v>4</v>
      </c>
      <c r="E809">
        <v>414</v>
      </c>
      <c r="F809">
        <v>309</v>
      </c>
      <c r="G809">
        <v>4.2</v>
      </c>
      <c r="H809" s="4">
        <v>102000</v>
      </c>
      <c r="I809" s="8" t="str" cm="1">
        <f t="array" ref="I809">_xlfn.IFS(H809&lt;50000,"Under $50K", H809&lt;100000,"$50K–$100K",
     H809&lt;200000,"$100K–$200K", H809&lt;500000,"$200K–$500K",
     H809&gt;=500000,"$500K+")</f>
        <v>$100K–$200K</v>
      </c>
      <c r="J809" s="9" t="str">
        <f t="shared" si="60"/>
        <v>2020s</v>
      </c>
      <c r="K809">
        <f t="shared" si="61"/>
        <v>2.3729504022812913E-2</v>
      </c>
      <c r="L809">
        <f t="shared" si="62"/>
        <v>0.17840646651270209</v>
      </c>
      <c r="M809">
        <f t="shared" si="63"/>
        <v>0.4893617021276595</v>
      </c>
      <c r="N809">
        <f t="shared" si="64"/>
        <v>0.23049922422105817</v>
      </c>
    </row>
    <row r="810" spans="1:14">
      <c r="A810" t="s">
        <v>24</v>
      </c>
      <c r="B810" t="s">
        <v>153</v>
      </c>
      <c r="C810">
        <v>2021</v>
      </c>
      <c r="D810">
        <v>6.5</v>
      </c>
      <c r="E810">
        <v>730</v>
      </c>
      <c r="F810">
        <v>509</v>
      </c>
      <c r="G810">
        <v>2.9</v>
      </c>
      <c r="H810" s="4">
        <v>417826</v>
      </c>
      <c r="I810" s="8" t="str" cm="1">
        <f t="array" ref="I810">_xlfn.IFS(H810&lt;50000,"Under $50K", H810&lt;100000,"$50K–$100K",
     H810&lt;200000,"$100K–$200K", H810&lt;500000,"$200K–$500K",
     H810&gt;=500000,"$500K+")</f>
        <v>$200K–$500K</v>
      </c>
      <c r="J810" s="9" t="str">
        <f t="shared" si="60"/>
        <v>2020s</v>
      </c>
      <c r="K810">
        <f t="shared" si="61"/>
        <v>5.5912007332722273E-2</v>
      </c>
      <c r="L810">
        <f t="shared" si="62"/>
        <v>0.29387990762124711</v>
      </c>
      <c r="M810">
        <f t="shared" si="63"/>
        <v>0.76595744680851063</v>
      </c>
      <c r="N810">
        <f t="shared" si="64"/>
        <v>0.37191645392082667</v>
      </c>
    </row>
    <row r="811" spans="1:14">
      <c r="A811" t="s">
        <v>19</v>
      </c>
      <c r="B811" t="s">
        <v>88</v>
      </c>
      <c r="C811">
        <v>2021</v>
      </c>
      <c r="D811">
        <v>4</v>
      </c>
      <c r="E811">
        <v>986</v>
      </c>
      <c r="F811">
        <v>590</v>
      </c>
      <c r="G811">
        <v>2.5</v>
      </c>
      <c r="H811" s="4">
        <v>625000</v>
      </c>
      <c r="I811" s="8" t="str" cm="1">
        <f t="array" ref="I811">_xlfn.IFS(H811&lt;50000,"Under $50K", H811&lt;100000,"$50K–$100K",
     H811&lt;200000,"$100K–$200K", H811&lt;500000,"$200K–$500K",
     H811&gt;=500000,"$500K+")</f>
        <v>$500K+</v>
      </c>
      <c r="J811" s="9" t="str">
        <f t="shared" si="60"/>
        <v>2020s</v>
      </c>
      <c r="K811">
        <f t="shared" si="61"/>
        <v>8.1983908748345047E-2</v>
      </c>
      <c r="L811">
        <f t="shared" si="62"/>
        <v>0.34064665127020788</v>
      </c>
      <c r="M811">
        <f t="shared" si="63"/>
        <v>0.85106382978723405</v>
      </c>
      <c r="N811">
        <f t="shared" si="64"/>
        <v>0.42456479660192903</v>
      </c>
    </row>
    <row r="812" spans="1:14">
      <c r="A812" t="s">
        <v>13</v>
      </c>
      <c r="B812" t="s">
        <v>185</v>
      </c>
      <c r="C812">
        <v>2022</v>
      </c>
      <c r="D812">
        <v>2.9</v>
      </c>
      <c r="E812">
        <v>444</v>
      </c>
      <c r="F812">
        <v>443</v>
      </c>
      <c r="G812">
        <v>3.5</v>
      </c>
      <c r="H812" s="4">
        <v>76700</v>
      </c>
      <c r="I812" s="8" t="str" cm="1">
        <f t="array" ref="I812">_xlfn.IFS(H812&lt;50000,"Under $50K", H812&lt;100000,"$50K–$100K",
     H812&lt;200000,"$100K–$200K", H812&lt;500000,"$200K–$500K",
     H812&gt;=500000,"$500K+")</f>
        <v>$50K–$100K</v>
      </c>
      <c r="J812" s="9" t="str">
        <f t="shared" si="60"/>
        <v>2020s</v>
      </c>
      <c r="K812">
        <f t="shared" si="61"/>
        <v>2.6784804969956208E-2</v>
      </c>
      <c r="L812">
        <f t="shared" si="62"/>
        <v>0.25577367205542723</v>
      </c>
      <c r="M812">
        <f t="shared" si="63"/>
        <v>0.63829787234042556</v>
      </c>
      <c r="N812">
        <f t="shared" si="64"/>
        <v>0.30695211645526971</v>
      </c>
    </row>
    <row r="813" spans="1:14">
      <c r="A813" t="s">
        <v>29</v>
      </c>
      <c r="B813" t="s">
        <v>236</v>
      </c>
      <c r="C813">
        <v>2020</v>
      </c>
      <c r="D813">
        <v>3.8</v>
      </c>
      <c r="E813">
        <v>562</v>
      </c>
      <c r="F813">
        <v>443</v>
      </c>
      <c r="G813">
        <v>3.1</v>
      </c>
      <c r="H813" s="4">
        <v>208800</v>
      </c>
      <c r="I813" s="8" t="str" cm="1">
        <f t="array" ref="I813">_xlfn.IFS(H813&lt;50000,"Under $50K", H813&lt;100000,"$50K–$100K",
     H813&lt;200000,"$100K–$200K", H813&lt;500000,"$200K–$500K",
     H813&gt;=500000,"$500K+")</f>
        <v>$200K–$500K</v>
      </c>
      <c r="J813" s="9" t="str">
        <f t="shared" si="60"/>
        <v>2020s</v>
      </c>
      <c r="K813">
        <f t="shared" si="61"/>
        <v>3.8802322028719832E-2</v>
      </c>
      <c r="L813">
        <f t="shared" si="62"/>
        <v>0.25577367205542723</v>
      </c>
      <c r="M813">
        <f t="shared" si="63"/>
        <v>0.72340425531914887</v>
      </c>
      <c r="N813">
        <f t="shared" si="64"/>
        <v>0.33932674980109861</v>
      </c>
    </row>
    <row r="814" spans="1:14">
      <c r="A814" t="s">
        <v>15</v>
      </c>
      <c r="B814" t="s">
        <v>154</v>
      </c>
      <c r="C814">
        <v>2022</v>
      </c>
      <c r="D814">
        <v>3</v>
      </c>
      <c r="E814">
        <v>405</v>
      </c>
      <c r="F814">
        <v>406</v>
      </c>
      <c r="G814">
        <v>4.2</v>
      </c>
      <c r="H814" s="4">
        <v>58900</v>
      </c>
      <c r="I814" s="8" t="str" cm="1">
        <f t="array" ref="I814">_xlfn.IFS(H814&lt;50000,"Under $50K", H814&lt;100000,"$50K–$100K",
     H814&lt;200000,"$100K–$200K", H814&lt;500000,"$200K–$500K",
     H814&gt;=500000,"$500K+")</f>
        <v>$50K–$100K</v>
      </c>
      <c r="J814" s="9" t="str">
        <f t="shared" si="60"/>
        <v>2020s</v>
      </c>
      <c r="K814">
        <f t="shared" si="61"/>
        <v>2.2812913738669924E-2</v>
      </c>
      <c r="L814">
        <f t="shared" si="62"/>
        <v>0.23441108545034642</v>
      </c>
      <c r="M814">
        <f t="shared" si="63"/>
        <v>0.4893617021276595</v>
      </c>
      <c r="N814">
        <f t="shared" si="64"/>
        <v>0.24886190043889198</v>
      </c>
    </row>
    <row r="815" spans="1:14">
      <c r="A815" t="s">
        <v>31</v>
      </c>
      <c r="B815" t="s">
        <v>237</v>
      </c>
      <c r="C815">
        <v>2022</v>
      </c>
      <c r="D815">
        <v>4</v>
      </c>
      <c r="E815">
        <v>469</v>
      </c>
      <c r="F815">
        <v>479</v>
      </c>
      <c r="G815">
        <v>3.9</v>
      </c>
      <c r="H815" s="4">
        <v>69000</v>
      </c>
      <c r="I815" s="8" t="str" cm="1">
        <f t="array" ref="I815">_xlfn.IFS(H815&lt;50000,"Under $50K", H815&lt;100000,"$50K–$100K",
     H815&lt;200000,"$100K–$200K", H815&lt;500000,"$200K–$500K",
     H815&gt;=500000,"$500K+")</f>
        <v>$50K–$100K</v>
      </c>
      <c r="J815" s="9" t="str">
        <f t="shared" si="60"/>
        <v>2020s</v>
      </c>
      <c r="K815">
        <f t="shared" si="61"/>
        <v>2.933088909257562E-2</v>
      </c>
      <c r="L815">
        <f t="shared" si="62"/>
        <v>0.27655889145496537</v>
      </c>
      <c r="M815">
        <f t="shared" si="63"/>
        <v>0.55319148936170226</v>
      </c>
      <c r="N815">
        <f t="shared" si="64"/>
        <v>0.28636042330308109</v>
      </c>
    </row>
    <row r="816" spans="1:14">
      <c r="A816" t="s">
        <v>17</v>
      </c>
      <c r="B816" t="s">
        <v>105</v>
      </c>
      <c r="C816">
        <v>2021</v>
      </c>
      <c r="D816">
        <v>6.2</v>
      </c>
      <c r="E816">
        <v>455</v>
      </c>
      <c r="F816">
        <v>455</v>
      </c>
      <c r="G816">
        <v>4</v>
      </c>
      <c r="H816" s="4">
        <v>42000</v>
      </c>
      <c r="I816" s="8" t="str" cm="1">
        <f t="array" ref="I816">_xlfn.IFS(H816&lt;50000,"Under $50K", H816&lt;100000,"$50K–$100K",
     H816&lt;200000,"$100K–$200K", H816&lt;500000,"$200K–$500K",
     H816&gt;=500000,"$500K+")</f>
        <v>Under $50K</v>
      </c>
      <c r="J816" s="9" t="str">
        <f t="shared" si="60"/>
        <v>2020s</v>
      </c>
      <c r="K816">
        <f t="shared" si="61"/>
        <v>2.7905081983908748E-2</v>
      </c>
      <c r="L816">
        <f t="shared" si="62"/>
        <v>0.26270207852193994</v>
      </c>
      <c r="M816">
        <f t="shared" si="63"/>
        <v>0.53191489361702127</v>
      </c>
      <c r="N816">
        <f t="shared" si="64"/>
        <v>0.27417401804095665</v>
      </c>
    </row>
    <row r="817" spans="1:14">
      <c r="A817" t="s">
        <v>20</v>
      </c>
      <c r="B817" t="s">
        <v>106</v>
      </c>
      <c r="C817">
        <v>2022</v>
      </c>
      <c r="D817">
        <v>5</v>
      </c>
      <c r="E817">
        <v>460</v>
      </c>
      <c r="F817">
        <v>420</v>
      </c>
      <c r="G817">
        <v>4.5</v>
      </c>
      <c r="H817" s="4">
        <v>43000</v>
      </c>
      <c r="I817" s="8" t="str" cm="1">
        <f t="array" ref="I817">_xlfn.IFS(H817&lt;50000,"Under $50K", H817&lt;100000,"$50K–$100K",
     H817&lt;200000,"$100K–$200K", H817&lt;500000,"$200K–$500K",
     H817&gt;=500000,"$500K+")</f>
        <v>Under $50K</v>
      </c>
      <c r="J817" s="9" t="str">
        <f t="shared" si="60"/>
        <v>2020s</v>
      </c>
      <c r="K817">
        <f t="shared" si="61"/>
        <v>2.8414298808432631E-2</v>
      </c>
      <c r="L817">
        <f t="shared" si="62"/>
        <v>0.24249422632794457</v>
      </c>
      <c r="M817">
        <f t="shared" si="63"/>
        <v>0.42553191489361697</v>
      </c>
      <c r="N817">
        <f t="shared" si="64"/>
        <v>0.2321468133433314</v>
      </c>
    </row>
    <row r="818" spans="1:14">
      <c r="A818" t="s">
        <v>18</v>
      </c>
      <c r="B818" t="s">
        <v>238</v>
      </c>
      <c r="C818">
        <v>2021</v>
      </c>
      <c r="D818">
        <v>5.7</v>
      </c>
      <c r="E818">
        <v>372</v>
      </c>
      <c r="F818">
        <v>400</v>
      </c>
      <c r="G818">
        <v>5.0999999999999996</v>
      </c>
      <c r="H818" s="4">
        <v>35000</v>
      </c>
      <c r="I818" s="8" t="str" cm="1">
        <f t="array" ref="I818">_xlfn.IFS(H818&lt;50000,"Under $50K", H818&lt;100000,"$50K–$100K",
     H818&lt;200000,"$100K–$200K", H818&lt;500000,"$200K–$500K",
     H818&gt;=500000,"$500K+")</f>
        <v>Under $50K</v>
      </c>
      <c r="J818" s="9" t="str">
        <f t="shared" si="60"/>
        <v>2020s</v>
      </c>
      <c r="K818">
        <f t="shared" si="61"/>
        <v>1.9452082696812301E-2</v>
      </c>
      <c r="L818">
        <f t="shared" si="62"/>
        <v>0.23094688221709006</v>
      </c>
      <c r="M818">
        <f t="shared" si="63"/>
        <v>0.29787234042553201</v>
      </c>
      <c r="N818">
        <f t="shared" si="64"/>
        <v>0.18275710177981144</v>
      </c>
    </row>
    <row r="819" spans="1:14">
      <c r="A819" t="s">
        <v>12</v>
      </c>
      <c r="B819" t="s">
        <v>107</v>
      </c>
      <c r="C819">
        <v>2021</v>
      </c>
      <c r="D819">
        <v>4</v>
      </c>
      <c r="E819">
        <v>503</v>
      </c>
      <c r="F819">
        <v>505</v>
      </c>
      <c r="G819">
        <v>3.6</v>
      </c>
      <c r="H819" s="4">
        <v>151000</v>
      </c>
      <c r="I819" s="8" t="str" cm="1">
        <f t="array" ref="I819">_xlfn.IFS(H819&lt;50000,"Under $50K", H819&lt;100000,"$50K–$100K",
     H819&lt;200000,"$100K–$200K", H819&lt;500000,"$200K–$500K",
     H819&gt;=500000,"$500K+")</f>
        <v>$100K–$200K</v>
      </c>
      <c r="J819" s="9" t="str">
        <f t="shared" si="60"/>
        <v>2020s</v>
      </c>
      <c r="K819">
        <f t="shared" si="61"/>
        <v>3.279356349933802E-2</v>
      </c>
      <c r="L819">
        <f t="shared" si="62"/>
        <v>0.29157043879907624</v>
      </c>
      <c r="M819">
        <f t="shared" si="63"/>
        <v>0.61702127659574468</v>
      </c>
      <c r="N819">
        <f t="shared" si="64"/>
        <v>0.31379509296471969</v>
      </c>
    </row>
    <row r="820" spans="1:14">
      <c r="A820" t="s">
        <v>26</v>
      </c>
      <c r="B820" t="s">
        <v>75</v>
      </c>
      <c r="C820">
        <v>2021</v>
      </c>
      <c r="D820">
        <v>3.5</v>
      </c>
      <c r="E820">
        <v>416</v>
      </c>
      <c r="F820">
        <v>317</v>
      </c>
      <c r="G820">
        <v>3.8</v>
      </c>
      <c r="H820" s="4">
        <v>105000</v>
      </c>
      <c r="I820" s="8" t="str" cm="1">
        <f t="array" ref="I820">_xlfn.IFS(H820&lt;50000,"Under $50K", H820&lt;100000,"$50K–$100K",
     H820&lt;200000,"$100K–$200K", H820&lt;500000,"$200K–$500K",
     H820&gt;=500000,"$500K+")</f>
        <v>$100K–$200K</v>
      </c>
      <c r="J820" s="9" t="str">
        <f t="shared" si="60"/>
        <v>2020s</v>
      </c>
      <c r="K820">
        <f t="shared" si="61"/>
        <v>2.3933190752622468E-2</v>
      </c>
      <c r="L820">
        <f t="shared" si="62"/>
        <v>0.18302540415704388</v>
      </c>
      <c r="M820">
        <f t="shared" si="63"/>
        <v>0.57446808510638303</v>
      </c>
      <c r="N820">
        <f t="shared" si="64"/>
        <v>0.26047556000534983</v>
      </c>
    </row>
    <row r="821" spans="1:14">
      <c r="A821" t="s">
        <v>9</v>
      </c>
      <c r="B821" t="s">
        <v>200</v>
      </c>
      <c r="C821">
        <v>2020</v>
      </c>
      <c r="D821">
        <v>1.7</v>
      </c>
      <c r="E821">
        <v>237</v>
      </c>
      <c r="F821">
        <v>258</v>
      </c>
      <c r="G821">
        <v>4.0999999999999996</v>
      </c>
      <c r="H821" s="4">
        <v>69000</v>
      </c>
      <c r="I821" s="8" t="str" cm="1">
        <f t="array" ref="I821">_xlfn.IFS(H821&lt;50000,"Under $50K", H821&lt;100000,"$50K–$100K",
     H821&lt;200000,"$100K–$200K", H821&lt;500000,"$200K–$500K",
     H821&gt;=500000,"$500K+")</f>
        <v>$50K–$100K</v>
      </c>
      <c r="J821" s="9" t="str">
        <f t="shared" si="60"/>
        <v>2020s</v>
      </c>
      <c r="K821">
        <f t="shared" si="61"/>
        <v>5.7032284346674811E-3</v>
      </c>
      <c r="L821">
        <f t="shared" si="62"/>
        <v>0.1489607390300231</v>
      </c>
      <c r="M821">
        <f t="shared" si="63"/>
        <v>0.5106382978723405</v>
      </c>
      <c r="N821">
        <f t="shared" si="64"/>
        <v>0.22176742177901035</v>
      </c>
    </row>
    <row r="822" spans="1:14">
      <c r="A822" t="s">
        <v>21</v>
      </c>
      <c r="B822" t="s">
        <v>72</v>
      </c>
      <c r="C822">
        <v>2022</v>
      </c>
      <c r="D822">
        <v>2</v>
      </c>
      <c r="E822">
        <v>296</v>
      </c>
      <c r="F822">
        <v>295</v>
      </c>
      <c r="G822">
        <v>5.4</v>
      </c>
      <c r="H822" s="4">
        <v>62500</v>
      </c>
      <c r="I822" s="8" t="str" cm="1">
        <f t="array" ref="I822">_xlfn.IFS(H822&lt;50000,"Under $50K", H822&lt;100000,"$50K–$100K",
     H822&lt;200000,"$100K–$200K", H822&lt;500000,"$200K–$500K",
     H822&gt;=500000,"$500K+")</f>
        <v>$50K–$100K</v>
      </c>
      <c r="J822" s="9" t="str">
        <f t="shared" si="60"/>
        <v>2020s</v>
      </c>
      <c r="K822">
        <f t="shared" si="61"/>
        <v>1.1711986964049292E-2</v>
      </c>
      <c r="L822">
        <f t="shared" si="62"/>
        <v>0.17032332563510394</v>
      </c>
      <c r="M822">
        <f t="shared" si="63"/>
        <v>0.23404255319148926</v>
      </c>
      <c r="N822">
        <f t="shared" si="64"/>
        <v>0.13869262193021417</v>
      </c>
    </row>
    <row r="823" spans="1:14">
      <c r="A823" t="s">
        <v>41</v>
      </c>
      <c r="B823" t="s">
        <v>127</v>
      </c>
      <c r="C823">
        <v>2022</v>
      </c>
      <c r="D823" t="s">
        <v>85</v>
      </c>
      <c r="E823">
        <v>1000</v>
      </c>
      <c r="F823">
        <v>737</v>
      </c>
      <c r="G823">
        <v>1.9</v>
      </c>
      <c r="H823" s="4">
        <v>200000</v>
      </c>
      <c r="I823" s="8" t="str" cm="1">
        <f t="array" ref="I823">_xlfn.IFS(H823&lt;50000,"Under $50K", H823&lt;100000,"$50K–$100K",
     H823&lt;200000,"$100K–$200K", H823&lt;500000,"$200K–$500K",
     H823&gt;=500000,"$500K+")</f>
        <v>$200K–$500K</v>
      </c>
      <c r="J823" s="9" t="str">
        <f t="shared" si="60"/>
        <v>2020s</v>
      </c>
      <c r="K823">
        <f t="shared" si="61"/>
        <v>8.3409715857011915E-2</v>
      </c>
      <c r="L823">
        <f t="shared" si="62"/>
        <v>0.42551963048498848</v>
      </c>
      <c r="M823">
        <f t="shared" si="63"/>
        <v>0.97872340425531923</v>
      </c>
      <c r="N823">
        <f t="shared" si="64"/>
        <v>0.49588425019910654</v>
      </c>
    </row>
    <row r="824" spans="1:14">
      <c r="A824" t="s">
        <v>23</v>
      </c>
      <c r="B824" t="s">
        <v>73</v>
      </c>
      <c r="C824">
        <v>2022</v>
      </c>
      <c r="D824">
        <v>5</v>
      </c>
      <c r="E824">
        <v>1600</v>
      </c>
      <c r="F824">
        <v>1106</v>
      </c>
      <c r="G824">
        <v>2.5</v>
      </c>
      <c r="H824" s="4">
        <v>3000000</v>
      </c>
      <c r="I824" s="8" t="str" cm="1">
        <f t="array" ref="I824">_xlfn.IFS(H824&lt;50000,"Under $50K", H824&lt;100000,"$50K–$100K",
     H824&lt;200000,"$100K–$200K", H824&lt;500000,"$200K–$500K",
     H824&gt;=500000,"$500K+")</f>
        <v>$500K+</v>
      </c>
      <c r="J824" s="9" t="str">
        <f t="shared" si="60"/>
        <v>2020s</v>
      </c>
      <c r="K824">
        <f t="shared" si="61"/>
        <v>0.14451573479987778</v>
      </c>
      <c r="L824">
        <f t="shared" si="62"/>
        <v>0.63856812933025409</v>
      </c>
      <c r="M824">
        <f t="shared" si="63"/>
        <v>0.85106382978723405</v>
      </c>
      <c r="N824">
        <f t="shared" si="64"/>
        <v>0.54471589797245523</v>
      </c>
    </row>
    <row r="825" spans="1:14">
      <c r="A825" t="s">
        <v>16</v>
      </c>
      <c r="B825" t="s">
        <v>207</v>
      </c>
      <c r="C825">
        <v>2021</v>
      </c>
      <c r="D825">
        <v>8</v>
      </c>
      <c r="E825">
        <v>1578</v>
      </c>
      <c r="F825">
        <v>1180</v>
      </c>
      <c r="G825">
        <v>2.4</v>
      </c>
      <c r="H825" s="4">
        <v>5200000</v>
      </c>
      <c r="I825" s="8" t="str" cm="1">
        <f t="array" ref="I825">_xlfn.IFS(H825&lt;50000,"Under $50K", H825&lt;100000,"$50K–$100K",
     H825&lt;200000,"$100K–$200K", H825&lt;500000,"$200K–$500K",
     H825&gt;=500000,"$500K+")</f>
        <v>$500K+</v>
      </c>
      <c r="J825" s="9" t="str">
        <f t="shared" si="60"/>
        <v>2020s</v>
      </c>
      <c r="K825">
        <f t="shared" si="61"/>
        <v>0.14227518077197271</v>
      </c>
      <c r="L825">
        <f t="shared" si="62"/>
        <v>0.68129330254041576</v>
      </c>
      <c r="M825">
        <f t="shared" si="63"/>
        <v>0.87234042553191493</v>
      </c>
      <c r="N825">
        <f t="shared" si="64"/>
        <v>0.56530296961476778</v>
      </c>
    </row>
    <row r="826" spans="1:14">
      <c r="A826" t="s">
        <v>37</v>
      </c>
      <c r="B826" t="s">
        <v>84</v>
      </c>
      <c r="C826">
        <v>2021</v>
      </c>
      <c r="D826" t="s">
        <v>85</v>
      </c>
      <c r="E826">
        <v>1914</v>
      </c>
      <c r="F826">
        <v>1696</v>
      </c>
      <c r="G826">
        <v>1.85</v>
      </c>
      <c r="H826" s="4">
        <v>2400000</v>
      </c>
      <c r="I826" s="8" t="str" cm="1">
        <f t="array" ref="I826">_xlfn.IFS(H826&lt;50000,"Under $50K", H826&lt;100000,"$50K–$100K",
     H826&lt;200000,"$100K–$200K", H826&lt;500000,"$200K–$500K",
     H826&gt;=500000,"$500K+")</f>
        <v>$500K+</v>
      </c>
      <c r="J826" s="9" t="str">
        <f t="shared" si="60"/>
        <v>2020s</v>
      </c>
      <c r="K826">
        <f t="shared" si="61"/>
        <v>0.1764945513799776</v>
      </c>
      <c r="L826">
        <f t="shared" si="62"/>
        <v>0.97921478060046185</v>
      </c>
      <c r="M826">
        <f t="shared" si="63"/>
        <v>0.98936170212765961</v>
      </c>
      <c r="N826">
        <f t="shared" si="64"/>
        <v>0.71502367803603306</v>
      </c>
    </row>
    <row r="827" spans="1:14">
      <c r="A827" t="s">
        <v>36</v>
      </c>
      <c r="B827" t="s">
        <v>86</v>
      </c>
      <c r="C827">
        <v>2022</v>
      </c>
      <c r="D827">
        <v>4</v>
      </c>
      <c r="E827">
        <v>414</v>
      </c>
      <c r="F827">
        <v>309</v>
      </c>
      <c r="G827">
        <v>4.2</v>
      </c>
      <c r="H827" s="4">
        <v>102100</v>
      </c>
      <c r="I827" s="8" t="str" cm="1">
        <f t="array" ref="I827">_xlfn.IFS(H827&lt;50000,"Under $50K", H827&lt;100000,"$50K–$100K",
     H827&lt;200000,"$100K–$200K", H827&lt;500000,"$200K–$500K",
     H827&gt;=500000,"$500K+")</f>
        <v>$100K–$200K</v>
      </c>
      <c r="J827" s="9" t="str">
        <f t="shared" si="60"/>
        <v>2020s</v>
      </c>
      <c r="K827">
        <f t="shared" si="61"/>
        <v>2.3729504022812913E-2</v>
      </c>
      <c r="L827">
        <f t="shared" si="62"/>
        <v>0.17840646651270209</v>
      </c>
      <c r="M827">
        <f t="shared" si="63"/>
        <v>0.4893617021276595</v>
      </c>
      <c r="N827">
        <f t="shared" si="64"/>
        <v>0.23049922422105817</v>
      </c>
    </row>
    <row r="828" spans="1:14">
      <c r="A828" t="s">
        <v>17</v>
      </c>
      <c r="B828" t="s">
        <v>91</v>
      </c>
      <c r="C828">
        <v>2022</v>
      </c>
      <c r="D828">
        <v>6.2</v>
      </c>
      <c r="E828">
        <v>650</v>
      </c>
      <c r="F828">
        <v>650</v>
      </c>
      <c r="G828">
        <v>3.5</v>
      </c>
      <c r="H828" s="4">
        <v>63000</v>
      </c>
      <c r="I828" s="8" t="str" cm="1">
        <f t="array" ref="I828">_xlfn.IFS(H828&lt;50000,"Under $50K", H828&lt;100000,"$50K–$100K",
     H828&lt;200000,"$100K–$200K", H828&lt;500000,"$200K–$500K",
     H828&gt;=500000,"$500K+")</f>
        <v>$50K–$100K</v>
      </c>
      <c r="J828" s="9" t="str">
        <f t="shared" si="60"/>
        <v>2020s</v>
      </c>
      <c r="K828">
        <f t="shared" si="61"/>
        <v>4.7764538140340158E-2</v>
      </c>
      <c r="L828">
        <f t="shared" si="62"/>
        <v>0.37528868360277134</v>
      </c>
      <c r="M828">
        <f t="shared" si="63"/>
        <v>0.63829787234042556</v>
      </c>
      <c r="N828">
        <f t="shared" si="64"/>
        <v>0.35378369802784571</v>
      </c>
    </row>
    <row r="829" spans="1:14">
      <c r="A829" t="s">
        <v>12</v>
      </c>
      <c r="B829" t="s">
        <v>107</v>
      </c>
      <c r="C829">
        <v>2021</v>
      </c>
      <c r="D829">
        <v>4</v>
      </c>
      <c r="E829">
        <v>503</v>
      </c>
      <c r="F829">
        <v>505</v>
      </c>
      <c r="G829">
        <v>3.5</v>
      </c>
      <c r="H829" s="4">
        <v>142086</v>
      </c>
      <c r="I829" s="8" t="str" cm="1">
        <f t="array" ref="I829">_xlfn.IFS(H829&lt;50000,"Under $50K", H829&lt;100000,"$50K–$100K",
     H829&lt;200000,"$100K–$200K", H829&lt;500000,"$200K–$500K",
     H829&gt;=500000,"$500K+")</f>
        <v>$100K–$200K</v>
      </c>
      <c r="J829" s="9" t="str">
        <f t="shared" si="60"/>
        <v>2020s</v>
      </c>
      <c r="K829">
        <f t="shared" si="61"/>
        <v>3.279356349933802E-2</v>
      </c>
      <c r="L829">
        <f t="shared" si="62"/>
        <v>0.29157043879907624</v>
      </c>
      <c r="M829">
        <f t="shared" si="63"/>
        <v>0.63829787234042556</v>
      </c>
      <c r="N829">
        <f t="shared" si="64"/>
        <v>0.32088729154627993</v>
      </c>
    </row>
    <row r="830" spans="1:14">
      <c r="A830" t="s">
        <v>9</v>
      </c>
      <c r="B830" t="s">
        <v>78</v>
      </c>
      <c r="C830">
        <v>2022</v>
      </c>
      <c r="D830">
        <v>2.9</v>
      </c>
      <c r="E830">
        <v>505</v>
      </c>
      <c r="F830">
        <v>443</v>
      </c>
      <c r="G830">
        <v>3.8</v>
      </c>
      <c r="H830" s="4">
        <v>83250</v>
      </c>
      <c r="I830" s="8" t="str" cm="1">
        <f t="array" ref="I830">_xlfn.IFS(H830&lt;50000,"Under $50K", H830&lt;100000,"$50K–$100K",
     H830&lt;200000,"$100K–$200K", H830&lt;500000,"$200K–$500K",
     H830&gt;=500000,"$500K+")</f>
        <v>$50K–$100K</v>
      </c>
      <c r="J830" s="9" t="str">
        <f t="shared" si="60"/>
        <v>2020s</v>
      </c>
      <c r="K830">
        <f t="shared" si="61"/>
        <v>3.2997250229147568E-2</v>
      </c>
      <c r="L830">
        <f t="shared" si="62"/>
        <v>0.25577367205542723</v>
      </c>
      <c r="M830">
        <f t="shared" si="63"/>
        <v>0.57446808510638303</v>
      </c>
      <c r="N830">
        <f t="shared" si="64"/>
        <v>0.28774633579698594</v>
      </c>
    </row>
    <row r="831" spans="1:14">
      <c r="A831" t="s">
        <v>18</v>
      </c>
      <c r="B831" t="s">
        <v>71</v>
      </c>
      <c r="C831">
        <v>2021</v>
      </c>
      <c r="D831">
        <v>6.2</v>
      </c>
      <c r="E831">
        <v>717</v>
      </c>
      <c r="F831">
        <v>656</v>
      </c>
      <c r="G831">
        <v>3.5</v>
      </c>
      <c r="H831" s="4">
        <v>65000</v>
      </c>
      <c r="I831" s="8" t="str" cm="1">
        <f t="array" ref="I831">_xlfn.IFS(H831&lt;50000,"Under $50K", H831&lt;100000,"$50K–$100K",
     H831&lt;200000,"$100K–$200K", H831&lt;500000,"$200K–$500K",
     H831&gt;=500000,"$500K+")</f>
        <v>$50K–$100K</v>
      </c>
      <c r="J831" s="9" t="str">
        <f t="shared" si="60"/>
        <v>2020s</v>
      </c>
      <c r="K831">
        <f t="shared" si="61"/>
        <v>5.4588043588960182E-2</v>
      </c>
      <c r="L831">
        <f t="shared" si="62"/>
        <v>0.3787528868360277</v>
      </c>
      <c r="M831">
        <f t="shared" si="63"/>
        <v>0.63829787234042556</v>
      </c>
      <c r="N831">
        <f t="shared" si="64"/>
        <v>0.35721293425513778</v>
      </c>
    </row>
    <row r="832" spans="1:14">
      <c r="A832" t="s">
        <v>25</v>
      </c>
      <c r="B832" t="s">
        <v>74</v>
      </c>
      <c r="C832">
        <v>2022</v>
      </c>
      <c r="D832">
        <v>5</v>
      </c>
      <c r="E832">
        <v>471</v>
      </c>
      <c r="F832">
        <v>398</v>
      </c>
      <c r="G832">
        <v>4.4000000000000004</v>
      </c>
      <c r="H832" s="4">
        <v>93050</v>
      </c>
      <c r="I832" s="8" t="str" cm="1">
        <f t="array" ref="I832">_xlfn.IFS(H832&lt;50000,"Under $50K", H832&lt;100000,"$50K–$100K",
     H832&lt;200000,"$100K–$200K", H832&lt;500000,"$200K–$500K",
     H832&gt;=500000,"$500K+")</f>
        <v>$50K–$100K</v>
      </c>
      <c r="J832" s="9" t="str">
        <f t="shared" si="60"/>
        <v>2020s</v>
      </c>
      <c r="K832">
        <f t="shared" si="61"/>
        <v>2.9534575822385171E-2</v>
      </c>
      <c r="L832">
        <f t="shared" si="62"/>
        <v>0.22979214780600463</v>
      </c>
      <c r="M832">
        <f t="shared" si="63"/>
        <v>0.44680851063829774</v>
      </c>
      <c r="N832">
        <f t="shared" si="64"/>
        <v>0.23537841142222918</v>
      </c>
    </row>
    <row r="833" spans="1:14">
      <c r="A833" t="s">
        <v>13</v>
      </c>
      <c r="B833" t="s">
        <v>209</v>
      </c>
      <c r="C833">
        <v>2021</v>
      </c>
      <c r="D833">
        <v>4</v>
      </c>
      <c r="E833">
        <v>591</v>
      </c>
      <c r="F833">
        <v>590</v>
      </c>
      <c r="G833">
        <v>3.5</v>
      </c>
      <c r="H833" s="4">
        <v>114000</v>
      </c>
      <c r="I833" s="8" t="str" cm="1">
        <f t="array" ref="I833">_xlfn.IFS(H833&lt;50000,"Under $50K", H833&lt;100000,"$50K–$100K",
     H833&lt;200000,"$100K–$200K", H833&lt;500000,"$200K–$500K",
     H833&gt;=500000,"$500K+")</f>
        <v>$100K–$200K</v>
      </c>
      <c r="J833" s="9" t="str">
        <f t="shared" si="60"/>
        <v>2020s</v>
      </c>
      <c r="K833">
        <f t="shared" si="61"/>
        <v>4.1755779610958346E-2</v>
      </c>
      <c r="L833">
        <f t="shared" si="62"/>
        <v>0.34064665127020788</v>
      </c>
      <c r="M833">
        <f t="shared" si="63"/>
        <v>0.63829787234042556</v>
      </c>
      <c r="N833">
        <f t="shared" si="64"/>
        <v>0.34023343440719728</v>
      </c>
    </row>
    <row r="834" spans="1:14">
      <c r="A834" t="s">
        <v>15</v>
      </c>
      <c r="B834" t="s">
        <v>188</v>
      </c>
      <c r="C834">
        <v>2022</v>
      </c>
      <c r="D834">
        <v>3</v>
      </c>
      <c r="E834">
        <v>503</v>
      </c>
      <c r="F834">
        <v>479</v>
      </c>
      <c r="G834">
        <v>3.8</v>
      </c>
      <c r="H834" s="4">
        <v>74700</v>
      </c>
      <c r="I834" s="8" t="str" cm="1">
        <f t="array" ref="I834">_xlfn.IFS(H834&lt;50000,"Under $50K", H834&lt;100000,"$50K–$100K",
     H834&lt;200000,"$100K–$200K", H834&lt;500000,"$200K–$500K",
     H834&gt;=500000,"$500K+")</f>
        <v>$50K–$100K</v>
      </c>
      <c r="J834" s="9" t="str">
        <f t="shared" si="60"/>
        <v>2020s</v>
      </c>
      <c r="K834">
        <f t="shared" si="61"/>
        <v>3.279356349933802E-2</v>
      </c>
      <c r="L834">
        <f t="shared" si="62"/>
        <v>0.27655889145496537</v>
      </c>
      <c r="M834">
        <f t="shared" si="63"/>
        <v>0.57446808510638303</v>
      </c>
      <c r="N834">
        <f t="shared" si="64"/>
        <v>0.29460684668689546</v>
      </c>
    </row>
    <row r="835" spans="1:14">
      <c r="A835" t="s">
        <v>31</v>
      </c>
      <c r="B835" t="s">
        <v>239</v>
      </c>
      <c r="C835">
        <v>2022</v>
      </c>
      <c r="D835">
        <v>4</v>
      </c>
      <c r="E835">
        <v>503</v>
      </c>
      <c r="F835">
        <v>516</v>
      </c>
      <c r="G835">
        <v>3.9</v>
      </c>
      <c r="H835" s="4">
        <v>77600</v>
      </c>
      <c r="I835" s="8" t="str" cm="1">
        <f t="array" ref="I835">_xlfn.IFS(H835&lt;50000,"Under $50K", H835&lt;100000,"$50K–$100K",
     H835&lt;200000,"$100K–$200K", H835&lt;500000,"$200K–$500K",
     H835&gt;=500000,"$500K+")</f>
        <v>$50K–$100K</v>
      </c>
      <c r="J835" s="9" t="str">
        <f t="shared" ref="J835:J898" si="65">_xlfn.CONCAT(INT(C835/10)*10,"s")</f>
        <v>2020s</v>
      </c>
      <c r="K835">
        <f t="shared" ref="K835:K898" si="66">(E835-MIN($E$2:$E$1008))/(MAX($E$2:$E$1008)-MIN($E$2:$E$1008))</f>
        <v>3.279356349933802E-2</v>
      </c>
      <c r="L835">
        <f t="shared" ref="L835:L898" si="67">(F835-MIN($F$2:$F$501))/(MAX($F$2:$F$501)-MIN($F$2:$F$501))</f>
        <v>0.29792147806004621</v>
      </c>
      <c r="M835">
        <f t="shared" ref="M835:M898" si="68">1-((G835-MIN($G$2:$G$501))/(MAX($G$2:$G$501)-MIN($G$2:$G$501)))</f>
        <v>0.55319148936170226</v>
      </c>
      <c r="N835">
        <f t="shared" ref="N835:N898" si="69">AVERAGE(K835,L835,M835)</f>
        <v>0.29463551030702884</v>
      </c>
    </row>
    <row r="836" spans="1:14">
      <c r="A836" t="s">
        <v>20</v>
      </c>
      <c r="B836" t="s">
        <v>92</v>
      </c>
      <c r="C836">
        <v>2022</v>
      </c>
      <c r="D836">
        <v>3.5</v>
      </c>
      <c r="E836">
        <v>660</v>
      </c>
      <c r="F836">
        <v>550</v>
      </c>
      <c r="G836">
        <v>2.9</v>
      </c>
      <c r="H836" s="4">
        <v>500000</v>
      </c>
      <c r="I836" s="8" t="str" cm="1">
        <f t="array" ref="I836">_xlfn.IFS(H836&lt;50000,"Under $50K", H836&lt;100000,"$50K–$100K",
     H836&lt;200000,"$100K–$200K", H836&lt;500000,"$200K–$500K",
     H836&gt;=500000,"$500K+")</f>
        <v>$500K+</v>
      </c>
      <c r="J836" s="9" t="str">
        <f t="shared" si="65"/>
        <v>2020s</v>
      </c>
      <c r="K836">
        <f t="shared" si="66"/>
        <v>4.8782971789387924E-2</v>
      </c>
      <c r="L836">
        <f t="shared" si="67"/>
        <v>0.31755196304849886</v>
      </c>
      <c r="M836">
        <f t="shared" si="68"/>
        <v>0.76595744680851063</v>
      </c>
      <c r="N836">
        <f t="shared" si="69"/>
        <v>0.37743079388213246</v>
      </c>
    </row>
    <row r="837" spans="1:14">
      <c r="A837" t="s">
        <v>29</v>
      </c>
      <c r="B837" t="s">
        <v>92</v>
      </c>
      <c r="C837">
        <v>2021</v>
      </c>
      <c r="D837">
        <v>4</v>
      </c>
      <c r="E837">
        <v>620</v>
      </c>
      <c r="F837">
        <v>465</v>
      </c>
      <c r="G837">
        <v>3.1</v>
      </c>
      <c r="H837" s="4">
        <v>210000</v>
      </c>
      <c r="I837" s="8" t="str" cm="1">
        <f t="array" ref="I837">_xlfn.IFS(H837&lt;50000,"Under $50K", H837&lt;100000,"$50K–$100K",
     H837&lt;200000,"$100K–$200K", H837&lt;500000,"$200K–$500K",
     H837&gt;=500000,"$500K+")</f>
        <v>$200K–$500K</v>
      </c>
      <c r="J837" s="9" t="str">
        <f t="shared" si="65"/>
        <v>2020s</v>
      </c>
      <c r="K837">
        <f t="shared" si="66"/>
        <v>4.470923719319686E-2</v>
      </c>
      <c r="L837">
        <f t="shared" si="67"/>
        <v>0.26847575057736722</v>
      </c>
      <c r="M837">
        <f t="shared" si="68"/>
        <v>0.72340425531914887</v>
      </c>
      <c r="N837">
        <f t="shared" si="69"/>
        <v>0.34552974769657102</v>
      </c>
    </row>
    <row r="838" spans="1:14">
      <c r="A838" t="s">
        <v>36</v>
      </c>
      <c r="B838" t="s">
        <v>135</v>
      </c>
      <c r="C838">
        <v>2022</v>
      </c>
      <c r="D838">
        <v>4</v>
      </c>
      <c r="E838">
        <v>630</v>
      </c>
      <c r="F838">
        <v>604</v>
      </c>
      <c r="G838">
        <v>2.9</v>
      </c>
      <c r="H838" s="4">
        <v>181100</v>
      </c>
      <c r="I838" s="8" t="str" cm="1">
        <f t="array" ref="I838">_xlfn.IFS(H838&lt;50000,"Under $50K", H838&lt;100000,"$50K–$100K",
     H838&lt;200000,"$100K–$200K", H838&lt;500000,"$200K–$500K",
     H838&gt;=500000,"$500K+")</f>
        <v>$100K–$200K</v>
      </c>
      <c r="J838" s="9" t="str">
        <f t="shared" si="65"/>
        <v>2020s</v>
      </c>
      <c r="K838">
        <f t="shared" si="66"/>
        <v>4.5727670842244626E-2</v>
      </c>
      <c r="L838">
        <f t="shared" si="67"/>
        <v>0.34872979214780603</v>
      </c>
      <c r="M838">
        <f t="shared" si="68"/>
        <v>0.76595744680851063</v>
      </c>
      <c r="N838">
        <f t="shared" si="69"/>
        <v>0.38680496993285374</v>
      </c>
    </row>
    <row r="839" spans="1:14">
      <c r="A839" t="s">
        <v>24</v>
      </c>
      <c r="B839" t="s">
        <v>153</v>
      </c>
      <c r="C839">
        <v>2021</v>
      </c>
      <c r="D839">
        <v>6.5</v>
      </c>
      <c r="E839">
        <v>730</v>
      </c>
      <c r="F839">
        <v>507</v>
      </c>
      <c r="G839">
        <v>2.9</v>
      </c>
      <c r="H839" s="4">
        <v>417826</v>
      </c>
      <c r="I839" s="8" t="str" cm="1">
        <f t="array" ref="I839">_xlfn.IFS(H839&lt;50000,"Under $50K", H839&lt;100000,"$50K–$100K",
     H839&lt;200000,"$100K–$200K", H839&lt;500000,"$200K–$500K",
     H839&gt;=500000,"$500K+")</f>
        <v>$200K–$500K</v>
      </c>
      <c r="J839" s="9" t="str">
        <f t="shared" si="65"/>
        <v>2020s</v>
      </c>
      <c r="K839">
        <f t="shared" si="66"/>
        <v>5.5912007332722273E-2</v>
      </c>
      <c r="L839">
        <f t="shared" si="67"/>
        <v>0.29272517321016167</v>
      </c>
      <c r="M839">
        <f t="shared" si="68"/>
        <v>0.76595744680851063</v>
      </c>
      <c r="N839">
        <f t="shared" si="69"/>
        <v>0.37153154245046488</v>
      </c>
    </row>
    <row r="840" spans="1:14">
      <c r="A840" t="s">
        <v>12</v>
      </c>
      <c r="B840" t="s">
        <v>132</v>
      </c>
      <c r="C840">
        <v>2022</v>
      </c>
      <c r="D840">
        <v>5.2</v>
      </c>
      <c r="E840">
        <v>715</v>
      </c>
      <c r="F840">
        <v>664</v>
      </c>
      <c r="G840">
        <v>3.2</v>
      </c>
      <c r="H840" s="4">
        <v>329100</v>
      </c>
      <c r="I840" s="8" t="str" cm="1">
        <f t="array" ref="I840">_xlfn.IFS(H840&lt;50000,"Under $50K", H840&lt;100000,"$50K–$100K",
     H840&lt;200000,"$100K–$200K", H840&lt;500000,"$200K–$500K",
     H840&gt;=500000,"$500K+")</f>
        <v>$200K–$500K</v>
      </c>
      <c r="J840" s="9" t="str">
        <f t="shared" si="65"/>
        <v>2020s</v>
      </c>
      <c r="K840">
        <f t="shared" si="66"/>
        <v>5.4384356859150627E-2</v>
      </c>
      <c r="L840">
        <f t="shared" si="67"/>
        <v>0.38337182448036949</v>
      </c>
      <c r="M840">
        <f t="shared" si="68"/>
        <v>0.7021276595744681</v>
      </c>
      <c r="N840">
        <f t="shared" si="69"/>
        <v>0.37996128030466275</v>
      </c>
    </row>
    <row r="841" spans="1:14">
      <c r="A841" t="s">
        <v>13</v>
      </c>
      <c r="B841" t="s">
        <v>118</v>
      </c>
      <c r="C841">
        <v>2022</v>
      </c>
      <c r="D841">
        <v>2.5</v>
      </c>
      <c r="E841">
        <v>394</v>
      </c>
      <c r="F841">
        <v>354</v>
      </c>
      <c r="G841">
        <v>3.6</v>
      </c>
      <c r="H841" s="4">
        <v>67600</v>
      </c>
      <c r="I841" s="8" t="str" cm="1">
        <f t="array" ref="I841">_xlfn.IFS(H841&lt;50000,"Under $50K", H841&lt;100000,"$50K–$100K",
     H841&lt;200000,"$100K–$200K", H841&lt;500000,"$200K–$500K",
     H841&gt;=500000,"$500K+")</f>
        <v>$50K–$100K</v>
      </c>
      <c r="J841" s="9" t="str">
        <f t="shared" si="65"/>
        <v>2020s</v>
      </c>
      <c r="K841">
        <f t="shared" si="66"/>
        <v>2.1692636724717385E-2</v>
      </c>
      <c r="L841">
        <f t="shared" si="67"/>
        <v>0.20438799076212472</v>
      </c>
      <c r="M841">
        <f t="shared" si="68"/>
        <v>0.61702127659574468</v>
      </c>
      <c r="N841">
        <f t="shared" si="69"/>
        <v>0.28103396802752895</v>
      </c>
    </row>
    <row r="842" spans="1:14">
      <c r="A842" t="s">
        <v>31</v>
      </c>
      <c r="B842" t="s">
        <v>240</v>
      </c>
      <c r="C842">
        <v>2021</v>
      </c>
      <c r="D842">
        <v>3</v>
      </c>
      <c r="E842">
        <v>385</v>
      </c>
      <c r="F842">
        <v>384</v>
      </c>
      <c r="G842">
        <v>4.5</v>
      </c>
      <c r="H842" s="4">
        <v>59900</v>
      </c>
      <c r="I842" s="8" t="str" cm="1">
        <f t="array" ref="I842">_xlfn.IFS(H842&lt;50000,"Under $50K", H842&lt;100000,"$50K–$100K",
     H842&lt;200000,"$100K–$200K", H842&lt;500000,"$200K–$500K",
     H842&gt;=500000,"$500K+")</f>
        <v>$50K–$100K</v>
      </c>
      <c r="J842" s="9" t="str">
        <f t="shared" si="65"/>
        <v>2020s</v>
      </c>
      <c r="K842">
        <f t="shared" si="66"/>
        <v>2.0776046440574396E-2</v>
      </c>
      <c r="L842">
        <f t="shared" si="67"/>
        <v>0.22170900692840648</v>
      </c>
      <c r="M842">
        <f t="shared" si="68"/>
        <v>0.42553191489361697</v>
      </c>
      <c r="N842">
        <f t="shared" si="69"/>
        <v>0.22267232275419926</v>
      </c>
    </row>
    <row r="843" spans="1:14">
      <c r="A843" t="s">
        <v>15</v>
      </c>
      <c r="B843" t="s">
        <v>99</v>
      </c>
      <c r="C843">
        <v>2022</v>
      </c>
      <c r="D843">
        <v>1.5</v>
      </c>
      <c r="E843">
        <v>369</v>
      </c>
      <c r="F843">
        <v>184</v>
      </c>
      <c r="G843">
        <v>4.2</v>
      </c>
      <c r="H843" s="4">
        <v>147500</v>
      </c>
      <c r="I843" s="8" t="str" cm="1">
        <f t="array" ref="I843">_xlfn.IFS(H843&lt;50000,"Under $50K", H843&lt;100000,"$50K–$100K",
     H843&lt;200000,"$100K–$200K", H843&lt;500000,"$200K–$500K",
     H843&gt;=500000,"$500K+")</f>
        <v>$100K–$200K</v>
      </c>
      <c r="J843" s="9" t="str">
        <f t="shared" si="65"/>
        <v>2020s</v>
      </c>
      <c r="K843">
        <f t="shared" si="66"/>
        <v>1.9146552602097973E-2</v>
      </c>
      <c r="L843">
        <f t="shared" si="67"/>
        <v>0.10623556581986143</v>
      </c>
      <c r="M843">
        <f t="shared" si="68"/>
        <v>0.4893617021276595</v>
      </c>
      <c r="N843">
        <f t="shared" si="69"/>
        <v>0.20491460684987298</v>
      </c>
    </row>
    <row r="844" spans="1:14">
      <c r="A844" t="s">
        <v>17</v>
      </c>
      <c r="B844" t="s">
        <v>119</v>
      </c>
      <c r="C844">
        <v>2021</v>
      </c>
      <c r="D844">
        <v>6.2</v>
      </c>
      <c r="E844">
        <v>490</v>
      </c>
      <c r="F844">
        <v>465</v>
      </c>
      <c r="G844">
        <v>2.9</v>
      </c>
      <c r="H844" s="4">
        <v>59900</v>
      </c>
      <c r="I844" s="8" t="str" cm="1">
        <f t="array" ref="I844">_xlfn.IFS(H844&lt;50000,"Under $50K", H844&lt;100000,"$50K–$100K",
     H844&lt;200000,"$100K–$200K", H844&lt;500000,"$200K–$500K",
     H844&gt;=500000,"$500K+")</f>
        <v>$50K–$100K</v>
      </c>
      <c r="J844" s="9" t="str">
        <f t="shared" si="65"/>
        <v>2020s</v>
      </c>
      <c r="K844">
        <f t="shared" si="66"/>
        <v>3.1469599755575922E-2</v>
      </c>
      <c r="L844">
        <f t="shared" si="67"/>
        <v>0.26847575057736722</v>
      </c>
      <c r="M844">
        <f t="shared" si="68"/>
        <v>0.76595744680851063</v>
      </c>
      <c r="N844">
        <f t="shared" si="69"/>
        <v>0.35530093238048455</v>
      </c>
    </row>
    <row r="845" spans="1:14">
      <c r="A845" t="s">
        <v>36</v>
      </c>
      <c r="B845" t="s">
        <v>148</v>
      </c>
      <c r="C845">
        <v>2022</v>
      </c>
      <c r="D845" t="s">
        <v>241</v>
      </c>
      <c r="E845">
        <v>469</v>
      </c>
      <c r="F845">
        <v>263</v>
      </c>
      <c r="G845">
        <v>3.8</v>
      </c>
      <c r="H845" s="4">
        <v>81250</v>
      </c>
      <c r="I845" s="8" t="str" cm="1">
        <f t="array" ref="I845">_xlfn.IFS(H845&lt;50000,"Under $50K", H845&lt;100000,"$50K–$100K",
     H845&lt;200000,"$100K–$200K", H845&lt;500000,"$200K–$500K",
     H845&gt;=500000,"$500K+")</f>
        <v>$50K–$100K</v>
      </c>
      <c r="J845" s="9" t="str">
        <f t="shared" si="65"/>
        <v>2020s</v>
      </c>
      <c r="K845">
        <f t="shared" si="66"/>
        <v>2.933088909257562E-2</v>
      </c>
      <c r="L845">
        <f t="shared" si="67"/>
        <v>0.15184757505773672</v>
      </c>
      <c r="M845">
        <f t="shared" si="68"/>
        <v>0.57446808510638303</v>
      </c>
      <c r="N845">
        <f t="shared" si="69"/>
        <v>0.25188218308556515</v>
      </c>
    </row>
    <row r="846" spans="1:14">
      <c r="A846" t="s">
        <v>24</v>
      </c>
      <c r="B846" t="s">
        <v>115</v>
      </c>
      <c r="C846">
        <v>2021</v>
      </c>
      <c r="D846">
        <v>6.5</v>
      </c>
      <c r="E846">
        <v>730</v>
      </c>
      <c r="F846">
        <v>509</v>
      </c>
      <c r="G846">
        <v>2.9</v>
      </c>
      <c r="H846" s="4">
        <v>517000</v>
      </c>
      <c r="I846" s="8" t="str" cm="1">
        <f t="array" ref="I846">_xlfn.IFS(H846&lt;50000,"Under $50K", H846&lt;100000,"$50K–$100K",
     H846&lt;200000,"$100K–$200K", H846&lt;500000,"$200K–$500K",
     H846&gt;=500000,"$500K+")</f>
        <v>$500K+</v>
      </c>
      <c r="J846" s="9" t="str">
        <f t="shared" si="65"/>
        <v>2020s</v>
      </c>
      <c r="K846">
        <f t="shared" si="66"/>
        <v>5.5912007332722273E-2</v>
      </c>
      <c r="L846">
        <f t="shared" si="67"/>
        <v>0.29387990762124711</v>
      </c>
      <c r="M846">
        <f t="shared" si="68"/>
        <v>0.76595744680851063</v>
      </c>
      <c r="N846">
        <f t="shared" si="69"/>
        <v>0.37191645392082667</v>
      </c>
    </row>
    <row r="847" spans="1:14">
      <c r="A847" t="s">
        <v>19</v>
      </c>
      <c r="B847" t="s">
        <v>97</v>
      </c>
      <c r="C847">
        <v>2021</v>
      </c>
      <c r="D847">
        <v>3.9</v>
      </c>
      <c r="E847">
        <v>611</v>
      </c>
      <c r="F847">
        <v>560</v>
      </c>
      <c r="G847">
        <v>3.3</v>
      </c>
      <c r="H847" s="4">
        <v>222620</v>
      </c>
      <c r="I847" s="8" t="str" cm="1">
        <f t="array" ref="I847">_xlfn.IFS(H847&lt;50000,"Under $50K", H847&lt;100000,"$50K–$100K",
     H847&lt;200000,"$100K–$200K", H847&lt;500000,"$200K–$500K",
     H847&gt;=500000,"$500K+")</f>
        <v>$200K–$500K</v>
      </c>
      <c r="J847" s="9" t="str">
        <f t="shared" si="65"/>
        <v>2020s</v>
      </c>
      <c r="K847">
        <f t="shared" si="66"/>
        <v>4.3792646909053878E-2</v>
      </c>
      <c r="L847">
        <f t="shared" si="67"/>
        <v>0.32332563510392609</v>
      </c>
      <c r="M847">
        <f t="shared" si="68"/>
        <v>0.68085106382978733</v>
      </c>
      <c r="N847">
        <f t="shared" si="69"/>
        <v>0.34932311528092241</v>
      </c>
    </row>
    <row r="848" spans="1:14">
      <c r="A848" t="s">
        <v>13</v>
      </c>
      <c r="B848" t="s">
        <v>89</v>
      </c>
      <c r="C848">
        <v>2022</v>
      </c>
      <c r="D848">
        <v>4</v>
      </c>
      <c r="E848">
        <v>591</v>
      </c>
      <c r="F848">
        <v>590</v>
      </c>
      <c r="G848">
        <v>3.5</v>
      </c>
      <c r="H848" s="4">
        <v>115000</v>
      </c>
      <c r="I848" s="8" t="str" cm="1">
        <f t="array" ref="I848">_xlfn.IFS(H848&lt;50000,"Under $50K", H848&lt;100000,"$50K–$100K",
     H848&lt;200000,"$100K–$200K", H848&lt;500000,"$200K–$500K",
     H848&gt;=500000,"$500K+")</f>
        <v>$100K–$200K</v>
      </c>
      <c r="J848" s="9" t="str">
        <f t="shared" si="65"/>
        <v>2020s</v>
      </c>
      <c r="K848">
        <f t="shared" si="66"/>
        <v>4.1755779610958346E-2</v>
      </c>
      <c r="L848">
        <f t="shared" si="67"/>
        <v>0.34064665127020788</v>
      </c>
      <c r="M848">
        <f t="shared" si="68"/>
        <v>0.63829787234042556</v>
      </c>
      <c r="N848">
        <f t="shared" si="69"/>
        <v>0.34023343440719728</v>
      </c>
    </row>
    <row r="849" spans="1:14">
      <c r="A849" t="s">
        <v>29</v>
      </c>
      <c r="B849" t="s">
        <v>92</v>
      </c>
      <c r="C849">
        <v>2021</v>
      </c>
      <c r="D849">
        <v>4</v>
      </c>
      <c r="E849">
        <v>612</v>
      </c>
      <c r="F849">
        <v>465</v>
      </c>
      <c r="G849">
        <v>3.1</v>
      </c>
      <c r="H849" s="4">
        <v>210000</v>
      </c>
      <c r="I849" s="8" t="str" cm="1">
        <f t="array" ref="I849">_xlfn.IFS(H849&lt;50000,"Under $50K", H849&lt;100000,"$50K–$100K",
     H849&lt;200000,"$100K–$200K", H849&lt;500000,"$200K–$500K",
     H849&gt;=500000,"$500K+")</f>
        <v>$200K–$500K</v>
      </c>
      <c r="J849" s="9" t="str">
        <f t="shared" si="65"/>
        <v>2020s</v>
      </c>
      <c r="K849">
        <f t="shared" si="66"/>
        <v>4.3894490273958649E-2</v>
      </c>
      <c r="L849">
        <f t="shared" si="67"/>
        <v>0.26847575057736722</v>
      </c>
      <c r="M849">
        <f t="shared" si="68"/>
        <v>0.72340425531914887</v>
      </c>
      <c r="N849">
        <f t="shared" si="69"/>
        <v>0.34525816539015824</v>
      </c>
    </row>
    <row r="850" spans="1:14">
      <c r="A850" t="s">
        <v>15</v>
      </c>
      <c r="B850" t="s">
        <v>113</v>
      </c>
      <c r="C850">
        <v>2022</v>
      </c>
      <c r="D850">
        <v>3</v>
      </c>
      <c r="E850">
        <v>405</v>
      </c>
      <c r="F850">
        <v>406</v>
      </c>
      <c r="G850">
        <v>4.2</v>
      </c>
      <c r="H850" s="4">
        <v>58900</v>
      </c>
      <c r="I850" s="8" t="str" cm="1">
        <f t="array" ref="I850">_xlfn.IFS(H850&lt;50000,"Under $50K", H850&lt;100000,"$50K–$100K",
     H850&lt;200000,"$100K–$200K", H850&lt;500000,"$200K–$500K",
     H850&gt;=500000,"$500K+")</f>
        <v>$50K–$100K</v>
      </c>
      <c r="J850" s="9" t="str">
        <f t="shared" si="65"/>
        <v>2020s</v>
      </c>
      <c r="K850">
        <f t="shared" si="66"/>
        <v>2.2812913738669924E-2</v>
      </c>
      <c r="L850">
        <f t="shared" si="67"/>
        <v>0.23441108545034642</v>
      </c>
      <c r="M850">
        <f t="shared" si="68"/>
        <v>0.4893617021276595</v>
      </c>
      <c r="N850">
        <f t="shared" si="69"/>
        <v>0.24886190043889198</v>
      </c>
    </row>
    <row r="851" spans="1:14">
      <c r="A851" t="s">
        <v>31</v>
      </c>
      <c r="B851" t="s">
        <v>116</v>
      </c>
      <c r="C851">
        <v>2021</v>
      </c>
      <c r="D851">
        <v>4</v>
      </c>
      <c r="E851">
        <v>469</v>
      </c>
      <c r="F851">
        <v>479</v>
      </c>
      <c r="G851">
        <v>3.9</v>
      </c>
      <c r="H851" s="4">
        <v>77000</v>
      </c>
      <c r="I851" s="8" t="str" cm="1">
        <f t="array" ref="I851">_xlfn.IFS(H851&lt;50000,"Under $50K", H851&lt;100000,"$50K–$100K",
     H851&lt;200000,"$100K–$200K", H851&lt;500000,"$200K–$500K",
     H851&gt;=500000,"$500K+")</f>
        <v>$50K–$100K</v>
      </c>
      <c r="J851" s="9" t="str">
        <f t="shared" si="65"/>
        <v>2020s</v>
      </c>
      <c r="K851">
        <f t="shared" si="66"/>
        <v>2.933088909257562E-2</v>
      </c>
      <c r="L851">
        <f t="shared" si="67"/>
        <v>0.27655889145496537</v>
      </c>
      <c r="M851">
        <f t="shared" si="68"/>
        <v>0.55319148936170226</v>
      </c>
      <c r="N851">
        <f t="shared" si="69"/>
        <v>0.28636042330308109</v>
      </c>
    </row>
    <row r="852" spans="1:14">
      <c r="A852" t="s">
        <v>17</v>
      </c>
      <c r="B852" t="s">
        <v>105</v>
      </c>
      <c r="C852">
        <v>2021</v>
      </c>
      <c r="D852">
        <v>6.2</v>
      </c>
      <c r="E852">
        <v>455</v>
      </c>
      <c r="F852">
        <v>455</v>
      </c>
      <c r="G852">
        <v>4.0999999999999996</v>
      </c>
      <c r="H852" s="4">
        <v>43995</v>
      </c>
      <c r="I852" s="8" t="str" cm="1">
        <f t="array" ref="I852">_xlfn.IFS(H852&lt;50000,"Under $50K", H852&lt;100000,"$50K–$100K",
     H852&lt;200000,"$100K–$200K", H852&lt;500000,"$200K–$500K",
     H852&gt;=500000,"$500K+")</f>
        <v>Under $50K</v>
      </c>
      <c r="J852" s="9" t="str">
        <f t="shared" si="65"/>
        <v>2020s</v>
      </c>
      <c r="K852">
        <f t="shared" si="66"/>
        <v>2.7905081983908748E-2</v>
      </c>
      <c r="L852">
        <f t="shared" si="67"/>
        <v>0.26270207852193994</v>
      </c>
      <c r="M852">
        <f t="shared" si="68"/>
        <v>0.5106382978723405</v>
      </c>
      <c r="N852">
        <f t="shared" si="69"/>
        <v>0.26708181945939641</v>
      </c>
    </row>
    <row r="853" spans="1:14">
      <c r="A853" t="s">
        <v>20</v>
      </c>
      <c r="B853" t="s">
        <v>121</v>
      </c>
      <c r="C853">
        <v>2021</v>
      </c>
      <c r="D853">
        <v>5</v>
      </c>
      <c r="E853">
        <v>480</v>
      </c>
      <c r="F853">
        <v>420</v>
      </c>
      <c r="G853">
        <v>4.0999999999999996</v>
      </c>
      <c r="H853" s="4">
        <v>51720</v>
      </c>
      <c r="I853" s="8" t="str" cm="1">
        <f t="array" ref="I853">_xlfn.IFS(H853&lt;50000,"Under $50K", H853&lt;100000,"$50K–$100K",
     H853&lt;200000,"$100K–$200K", H853&lt;500000,"$200K–$500K",
     H853&gt;=500000,"$500K+")</f>
        <v>$50K–$100K</v>
      </c>
      <c r="J853" s="9" t="str">
        <f t="shared" si="65"/>
        <v>2020s</v>
      </c>
      <c r="K853">
        <f t="shared" si="66"/>
        <v>3.045116610652816E-2</v>
      </c>
      <c r="L853">
        <f t="shared" si="67"/>
        <v>0.24249422632794457</v>
      </c>
      <c r="M853">
        <f t="shared" si="68"/>
        <v>0.5106382978723405</v>
      </c>
      <c r="N853">
        <f t="shared" si="69"/>
        <v>0.26119456343560438</v>
      </c>
    </row>
    <row r="854" spans="1:14">
      <c r="A854" t="s">
        <v>32</v>
      </c>
      <c r="B854" t="s">
        <v>93</v>
      </c>
      <c r="C854">
        <v>2021</v>
      </c>
      <c r="D854">
        <v>3.7</v>
      </c>
      <c r="E854">
        <v>350</v>
      </c>
      <c r="F854">
        <v>276</v>
      </c>
      <c r="G854">
        <v>4.8</v>
      </c>
      <c r="H854" s="4">
        <v>46610</v>
      </c>
      <c r="I854" s="8" t="str" cm="1">
        <f t="array" ref="I854">_xlfn.IFS(H854&lt;50000,"Under $50K", H854&lt;100000,"$50K–$100K",
     H854&lt;200000,"$100K–$200K", H854&lt;500000,"$200K–$500K",
     H854&gt;=500000,"$500K+")</f>
        <v>Under $50K</v>
      </c>
      <c r="J854" s="9" t="str">
        <f t="shared" si="65"/>
        <v>2020s</v>
      </c>
      <c r="K854">
        <f t="shared" si="66"/>
        <v>1.7211528668907222E-2</v>
      </c>
      <c r="L854">
        <f t="shared" si="67"/>
        <v>0.15935334872979215</v>
      </c>
      <c r="M854">
        <f t="shared" si="68"/>
        <v>0.36170212765957455</v>
      </c>
      <c r="N854">
        <f t="shared" si="69"/>
        <v>0.17942233501942462</v>
      </c>
    </row>
    <row r="855" spans="1:14">
      <c r="A855" t="s">
        <v>36</v>
      </c>
      <c r="B855" t="s">
        <v>108</v>
      </c>
      <c r="C855">
        <v>2022</v>
      </c>
      <c r="D855">
        <v>2.9</v>
      </c>
      <c r="E855">
        <v>325</v>
      </c>
      <c r="F855">
        <v>331</v>
      </c>
      <c r="G855">
        <v>5.3</v>
      </c>
      <c r="H855" s="4">
        <v>88550</v>
      </c>
      <c r="I855" s="8" t="str" cm="1">
        <f t="array" ref="I855">_xlfn.IFS(H855&lt;50000,"Under $50K", H855&lt;100000,"$50K–$100K",
     H855&lt;200000,"$100K–$200K", H855&lt;500000,"$200K–$500K",
     H855&gt;=500000,"$500K+")</f>
        <v>$50K–$100K</v>
      </c>
      <c r="J855" s="9" t="str">
        <f t="shared" si="65"/>
        <v>2020s</v>
      </c>
      <c r="K855">
        <f t="shared" si="66"/>
        <v>1.466544454628781E-2</v>
      </c>
      <c r="L855">
        <f t="shared" si="67"/>
        <v>0.19110854503464203</v>
      </c>
      <c r="M855">
        <f t="shared" si="68"/>
        <v>0.25531914893617025</v>
      </c>
      <c r="N855">
        <f t="shared" si="69"/>
        <v>0.15369771283903336</v>
      </c>
    </row>
    <row r="856" spans="1:14">
      <c r="A856" t="s">
        <v>24</v>
      </c>
      <c r="B856" t="s">
        <v>96</v>
      </c>
      <c r="C856">
        <v>2021</v>
      </c>
      <c r="D856">
        <v>4</v>
      </c>
      <c r="E856">
        <v>641</v>
      </c>
      <c r="F856">
        <v>627</v>
      </c>
      <c r="G856">
        <v>3.6</v>
      </c>
      <c r="H856" s="4">
        <v>218009</v>
      </c>
      <c r="I856" s="8" t="str" cm="1">
        <f t="array" ref="I856">_xlfn.IFS(H856&lt;50000,"Under $50K", H856&lt;100000,"$50K–$100K",
     H856&lt;200000,"$100K–$200K", H856&lt;500000,"$200K–$500K",
     H856&gt;=500000,"$500K+")</f>
        <v>$200K–$500K</v>
      </c>
      <c r="J856" s="9" t="str">
        <f t="shared" si="65"/>
        <v>2020s</v>
      </c>
      <c r="K856">
        <f t="shared" si="66"/>
        <v>4.684794785619717E-2</v>
      </c>
      <c r="L856">
        <f t="shared" si="67"/>
        <v>0.36200923787528866</v>
      </c>
      <c r="M856">
        <f t="shared" si="68"/>
        <v>0.61702127659574468</v>
      </c>
      <c r="N856">
        <f t="shared" si="69"/>
        <v>0.34195948744241017</v>
      </c>
    </row>
    <row r="857" spans="1:14">
      <c r="A857" t="s">
        <v>19</v>
      </c>
      <c r="B857" t="s">
        <v>88</v>
      </c>
      <c r="C857">
        <v>2021</v>
      </c>
      <c r="D857" t="s">
        <v>242</v>
      </c>
      <c r="E857">
        <v>986</v>
      </c>
      <c r="F857">
        <v>590</v>
      </c>
      <c r="G857">
        <v>2.5</v>
      </c>
      <c r="H857" s="4">
        <v>625000</v>
      </c>
      <c r="I857" s="8" t="str" cm="1">
        <f t="array" ref="I857">_xlfn.IFS(H857&lt;50000,"Under $50K", H857&lt;100000,"$50K–$100K",
     H857&lt;200000,"$100K–$200K", H857&lt;500000,"$200K–$500K",
     H857&gt;=500000,"$500K+")</f>
        <v>$500K+</v>
      </c>
      <c r="J857" s="9" t="str">
        <f t="shared" si="65"/>
        <v>2020s</v>
      </c>
      <c r="K857">
        <f t="shared" si="66"/>
        <v>8.1983908748345047E-2</v>
      </c>
      <c r="L857">
        <f t="shared" si="67"/>
        <v>0.34064665127020788</v>
      </c>
      <c r="M857">
        <f t="shared" si="68"/>
        <v>0.85106382978723405</v>
      </c>
      <c r="N857">
        <f t="shared" si="69"/>
        <v>0.42456479660192903</v>
      </c>
    </row>
    <row r="858" spans="1:14">
      <c r="A858" t="s">
        <v>13</v>
      </c>
      <c r="B858" t="s">
        <v>223</v>
      </c>
      <c r="C858">
        <v>2022</v>
      </c>
      <c r="D858">
        <v>4</v>
      </c>
      <c r="E858">
        <v>591</v>
      </c>
      <c r="F858">
        <v>590</v>
      </c>
      <c r="G858">
        <v>3.5</v>
      </c>
      <c r="H858" s="4">
        <v>120000</v>
      </c>
      <c r="I858" s="8" t="str" cm="1">
        <f t="array" ref="I858">_xlfn.IFS(H858&lt;50000,"Under $50K", H858&lt;100000,"$50K–$100K",
     H858&lt;200000,"$100K–$200K", H858&lt;500000,"$200K–$500K",
     H858&gt;=500000,"$500K+")</f>
        <v>$100K–$200K</v>
      </c>
      <c r="J858" s="9" t="str">
        <f t="shared" si="65"/>
        <v>2020s</v>
      </c>
      <c r="K858">
        <f t="shared" si="66"/>
        <v>4.1755779610958346E-2</v>
      </c>
      <c r="L858">
        <f t="shared" si="67"/>
        <v>0.34064665127020788</v>
      </c>
      <c r="M858">
        <f t="shared" si="68"/>
        <v>0.63829787234042556</v>
      </c>
      <c r="N858">
        <f t="shared" si="69"/>
        <v>0.34023343440719728</v>
      </c>
    </row>
    <row r="859" spans="1:14">
      <c r="A859" t="s">
        <v>29</v>
      </c>
      <c r="B859" t="s">
        <v>103</v>
      </c>
      <c r="C859">
        <v>2021</v>
      </c>
      <c r="D859">
        <v>3.8</v>
      </c>
      <c r="E859">
        <v>562</v>
      </c>
      <c r="F859">
        <v>443</v>
      </c>
      <c r="G859">
        <v>3.1</v>
      </c>
      <c r="H859" s="4">
        <v>192500</v>
      </c>
      <c r="I859" s="8" t="str" cm="1">
        <f t="array" ref="I859">_xlfn.IFS(H859&lt;50000,"Under $50K", H859&lt;100000,"$50K–$100K",
     H859&lt;200000,"$100K–$200K", H859&lt;500000,"$200K–$500K",
     H859&gt;=500000,"$500K+")</f>
        <v>$100K–$200K</v>
      </c>
      <c r="J859" s="9" t="str">
        <f t="shared" si="65"/>
        <v>2020s</v>
      </c>
      <c r="K859">
        <f t="shared" si="66"/>
        <v>3.8802322028719832E-2</v>
      </c>
      <c r="L859">
        <f t="shared" si="67"/>
        <v>0.25577367205542723</v>
      </c>
      <c r="M859">
        <f t="shared" si="68"/>
        <v>0.72340425531914887</v>
      </c>
      <c r="N859">
        <f t="shared" si="69"/>
        <v>0.33932674980109861</v>
      </c>
    </row>
    <row r="860" spans="1:14">
      <c r="A860" t="s">
        <v>15</v>
      </c>
      <c r="B860" t="s">
        <v>90</v>
      </c>
      <c r="C860">
        <v>2022</v>
      </c>
      <c r="D860">
        <v>3</v>
      </c>
      <c r="E860">
        <v>503</v>
      </c>
      <c r="F860">
        <v>479</v>
      </c>
      <c r="G860">
        <v>3.8</v>
      </c>
      <c r="H860" s="4">
        <v>74000</v>
      </c>
      <c r="I860" s="8" t="str" cm="1">
        <f t="array" ref="I860">_xlfn.IFS(H860&lt;50000,"Under $50K", H860&lt;100000,"$50K–$100K",
     H860&lt;200000,"$100K–$200K", H860&lt;500000,"$200K–$500K",
     H860&gt;=500000,"$500K+")</f>
        <v>$50K–$100K</v>
      </c>
      <c r="J860" s="9" t="str">
        <f t="shared" si="65"/>
        <v>2020s</v>
      </c>
      <c r="K860">
        <f t="shared" si="66"/>
        <v>3.279356349933802E-2</v>
      </c>
      <c r="L860">
        <f t="shared" si="67"/>
        <v>0.27655889145496537</v>
      </c>
      <c r="M860">
        <f t="shared" si="68"/>
        <v>0.57446808510638303</v>
      </c>
      <c r="N860">
        <f t="shared" si="69"/>
        <v>0.29460684668689546</v>
      </c>
    </row>
    <row r="861" spans="1:14">
      <c r="A861" t="s">
        <v>31</v>
      </c>
      <c r="B861" t="s">
        <v>243</v>
      </c>
      <c r="C861">
        <v>2021</v>
      </c>
      <c r="D861">
        <v>2</v>
      </c>
      <c r="E861">
        <v>382</v>
      </c>
      <c r="F861">
        <v>354</v>
      </c>
      <c r="G861">
        <v>4</v>
      </c>
      <c r="H861" s="4">
        <v>50000</v>
      </c>
      <c r="I861" s="8" t="str" cm="1">
        <f t="array" ref="I861">_xlfn.IFS(H861&lt;50000,"Under $50K", H861&lt;100000,"$50K–$100K",
     H861&lt;200000,"$100K–$200K", H861&lt;500000,"$200K–$500K",
     H861&gt;=500000,"$500K+")</f>
        <v>$50K–$100K</v>
      </c>
      <c r="J861" s="9" t="str">
        <f t="shared" si="65"/>
        <v>2020s</v>
      </c>
      <c r="K861">
        <f t="shared" si="66"/>
        <v>2.0470516345860067E-2</v>
      </c>
      <c r="L861">
        <f t="shared" si="67"/>
        <v>0.20438799076212472</v>
      </c>
      <c r="M861">
        <f t="shared" si="68"/>
        <v>0.53191489361702127</v>
      </c>
      <c r="N861">
        <f t="shared" si="69"/>
        <v>0.25225780024166866</v>
      </c>
    </row>
    <row r="862" spans="1:14">
      <c r="A862" t="s">
        <v>17</v>
      </c>
      <c r="B862" t="s">
        <v>91</v>
      </c>
      <c r="C862">
        <v>2021</v>
      </c>
      <c r="D862">
        <v>6.2</v>
      </c>
      <c r="E862">
        <v>650</v>
      </c>
      <c r="F862">
        <v>650</v>
      </c>
      <c r="G862">
        <v>3.5</v>
      </c>
      <c r="H862" s="4">
        <v>63995</v>
      </c>
      <c r="I862" s="8" t="str" cm="1">
        <f t="array" ref="I862">_xlfn.IFS(H862&lt;50000,"Under $50K", H862&lt;100000,"$50K–$100K",
     H862&lt;200000,"$100K–$200K", H862&lt;500000,"$200K–$500K",
     H862&gt;=500000,"$500K+")</f>
        <v>$50K–$100K</v>
      </c>
      <c r="J862" s="9" t="str">
        <f t="shared" si="65"/>
        <v>2020s</v>
      </c>
      <c r="K862">
        <f t="shared" si="66"/>
        <v>4.7764538140340158E-2</v>
      </c>
      <c r="L862">
        <f t="shared" si="67"/>
        <v>0.37528868360277134</v>
      </c>
      <c r="M862">
        <f t="shared" si="68"/>
        <v>0.63829787234042556</v>
      </c>
      <c r="N862">
        <f t="shared" si="69"/>
        <v>0.35378369802784571</v>
      </c>
    </row>
    <row r="863" spans="1:14">
      <c r="A863" t="s">
        <v>8</v>
      </c>
      <c r="B863" t="s">
        <v>123</v>
      </c>
      <c r="C863">
        <v>2021</v>
      </c>
      <c r="D863">
        <v>3.5</v>
      </c>
      <c r="E863">
        <v>573</v>
      </c>
      <c r="F863">
        <v>476</v>
      </c>
      <c r="G863">
        <v>2.7</v>
      </c>
      <c r="H863" s="4">
        <v>157500</v>
      </c>
      <c r="I863" s="8" t="str" cm="1">
        <f t="array" ref="I863">_xlfn.IFS(H863&lt;50000,"Under $50K", H863&lt;100000,"$50K–$100K",
     H863&lt;200000,"$100K–$200K", H863&lt;500000,"$200K–$500K",
     H863&gt;=500000,"$500K+")</f>
        <v>$100K–$200K</v>
      </c>
      <c r="J863" s="9" t="str">
        <f t="shared" si="65"/>
        <v>2020s</v>
      </c>
      <c r="K863">
        <f t="shared" si="66"/>
        <v>3.9922599042672369E-2</v>
      </c>
      <c r="L863">
        <f t="shared" si="67"/>
        <v>0.27482678983833719</v>
      </c>
      <c r="M863">
        <f t="shared" si="68"/>
        <v>0.80851063829787229</v>
      </c>
      <c r="N863">
        <f t="shared" si="69"/>
        <v>0.3744200090596273</v>
      </c>
    </row>
    <row r="864" spans="1:14">
      <c r="A864" t="s">
        <v>12</v>
      </c>
      <c r="B864" t="s">
        <v>107</v>
      </c>
      <c r="C864">
        <v>2021</v>
      </c>
      <c r="D864">
        <v>4</v>
      </c>
      <c r="E864">
        <v>503</v>
      </c>
      <c r="F864">
        <v>505</v>
      </c>
      <c r="G864">
        <v>3.5</v>
      </c>
      <c r="H864" s="4">
        <v>142086</v>
      </c>
      <c r="I864" s="8" t="str" cm="1">
        <f t="array" ref="I864">_xlfn.IFS(H864&lt;50000,"Under $50K", H864&lt;100000,"$50K–$100K",
     H864&lt;200000,"$100K–$200K", H864&lt;500000,"$200K–$500K",
     H864&gt;=500000,"$500K+")</f>
        <v>$100K–$200K</v>
      </c>
      <c r="J864" s="9" t="str">
        <f t="shared" si="65"/>
        <v>2020s</v>
      </c>
      <c r="K864">
        <f t="shared" si="66"/>
        <v>3.279356349933802E-2</v>
      </c>
      <c r="L864">
        <f t="shared" si="67"/>
        <v>0.29157043879907624</v>
      </c>
      <c r="M864">
        <f t="shared" si="68"/>
        <v>0.63829787234042556</v>
      </c>
      <c r="N864">
        <f t="shared" si="69"/>
        <v>0.32088729154627993</v>
      </c>
    </row>
    <row r="865" spans="1:14">
      <c r="A865" t="s">
        <v>14</v>
      </c>
      <c r="B865" t="s">
        <v>80</v>
      </c>
      <c r="C865">
        <v>2021</v>
      </c>
      <c r="D865">
        <v>4</v>
      </c>
      <c r="E865">
        <v>542</v>
      </c>
      <c r="F865">
        <v>568</v>
      </c>
      <c r="G865">
        <v>3.3</v>
      </c>
      <c r="H865" s="4">
        <v>202500</v>
      </c>
      <c r="I865" s="8" t="str" cm="1">
        <f t="array" ref="I865">_xlfn.IFS(H865&lt;50000,"Under $50K", H865&lt;100000,"$50K–$100K",
     H865&lt;200000,"$100K–$200K", H865&lt;500000,"$200K–$500K",
     H865&gt;=500000,"$500K+")</f>
        <v>$200K–$500K</v>
      </c>
      <c r="J865" s="9" t="str">
        <f t="shared" si="65"/>
        <v>2020s</v>
      </c>
      <c r="K865">
        <f t="shared" si="66"/>
        <v>3.67654547306243E-2</v>
      </c>
      <c r="L865">
        <f t="shared" si="67"/>
        <v>0.32794457274826788</v>
      </c>
      <c r="M865">
        <f t="shared" si="68"/>
        <v>0.68085106382978733</v>
      </c>
      <c r="N865">
        <f t="shared" si="69"/>
        <v>0.3485203637695598</v>
      </c>
    </row>
    <row r="866" spans="1:14">
      <c r="A866" t="s">
        <v>16</v>
      </c>
      <c r="B866" t="s">
        <v>70</v>
      </c>
      <c r="C866">
        <v>2022</v>
      </c>
      <c r="D866">
        <v>8</v>
      </c>
      <c r="E866">
        <v>1479</v>
      </c>
      <c r="F866">
        <v>1180</v>
      </c>
      <c r="G866">
        <v>2.4</v>
      </c>
      <c r="H866" s="4">
        <v>2900000</v>
      </c>
      <c r="I866" s="8" t="str" cm="1">
        <f t="array" ref="I866">_xlfn.IFS(H866&lt;50000,"Under $50K", H866&lt;100000,"$50K–$100K",
     H866&lt;200000,"$100K–$200K", H866&lt;500000,"$200K–$500K",
     H866&gt;=500000,"$500K+")</f>
        <v>$500K+</v>
      </c>
      <c r="J866" s="9" t="str">
        <f t="shared" si="65"/>
        <v>2020s</v>
      </c>
      <c r="K866">
        <f t="shared" si="66"/>
        <v>0.13219268764639983</v>
      </c>
      <c r="L866">
        <f t="shared" si="67"/>
        <v>0.68129330254041576</v>
      </c>
      <c r="M866">
        <f t="shared" si="68"/>
        <v>0.87234042553191493</v>
      </c>
      <c r="N866">
        <f t="shared" si="69"/>
        <v>0.5619421385729102</v>
      </c>
    </row>
    <row r="867" spans="1:14">
      <c r="A867" t="s">
        <v>19</v>
      </c>
      <c r="B867" t="s">
        <v>120</v>
      </c>
      <c r="C867">
        <v>2022</v>
      </c>
      <c r="D867">
        <v>3.9</v>
      </c>
      <c r="E867">
        <v>710</v>
      </c>
      <c r="F867">
        <v>568</v>
      </c>
      <c r="G867">
        <v>2.8</v>
      </c>
      <c r="H867" s="4">
        <v>275000</v>
      </c>
      <c r="I867" s="8" t="str" cm="1">
        <f t="array" ref="I867">_xlfn.IFS(H867&lt;50000,"Under $50K", H867&lt;100000,"$50K–$100K",
     H867&lt;200000,"$100K–$200K", H867&lt;500000,"$200K–$500K",
     H867&gt;=500000,"$500K+")</f>
        <v>$200K–$500K</v>
      </c>
      <c r="J867" s="9" t="str">
        <f t="shared" si="65"/>
        <v>2020s</v>
      </c>
      <c r="K867">
        <f t="shared" si="66"/>
        <v>5.3875140034626741E-2</v>
      </c>
      <c r="L867">
        <f t="shared" si="67"/>
        <v>0.32794457274826788</v>
      </c>
      <c r="M867">
        <f t="shared" si="68"/>
        <v>0.78723404255319152</v>
      </c>
      <c r="N867">
        <f t="shared" si="69"/>
        <v>0.38968458511202869</v>
      </c>
    </row>
    <row r="868" spans="1:14">
      <c r="A868" t="s">
        <v>24</v>
      </c>
      <c r="B868" t="s">
        <v>115</v>
      </c>
      <c r="C868">
        <v>2021</v>
      </c>
      <c r="D868">
        <v>6.5</v>
      </c>
      <c r="E868">
        <v>730</v>
      </c>
      <c r="F868">
        <v>509</v>
      </c>
      <c r="G868">
        <v>2.9</v>
      </c>
      <c r="H868" s="4">
        <v>517000</v>
      </c>
      <c r="I868" s="8" t="str" cm="1">
        <f t="array" ref="I868">_xlfn.IFS(H868&lt;50000,"Under $50K", H868&lt;100000,"$50K–$100K",
     H868&lt;200000,"$100K–$200K", H868&lt;500000,"$200K–$500K",
     H868&gt;=500000,"$500K+")</f>
        <v>$500K+</v>
      </c>
      <c r="J868" s="9" t="str">
        <f t="shared" si="65"/>
        <v>2020s</v>
      </c>
      <c r="K868">
        <f t="shared" si="66"/>
        <v>5.5912007332722273E-2</v>
      </c>
      <c r="L868">
        <f t="shared" si="67"/>
        <v>0.29387990762124711</v>
      </c>
      <c r="M868">
        <f t="shared" si="68"/>
        <v>0.76595744680851063</v>
      </c>
      <c r="N868">
        <f t="shared" si="69"/>
        <v>0.37191645392082667</v>
      </c>
    </row>
    <row r="869" spans="1:14">
      <c r="A869" t="s">
        <v>29</v>
      </c>
      <c r="B869" t="s">
        <v>92</v>
      </c>
      <c r="C869">
        <v>2021</v>
      </c>
      <c r="D869">
        <v>4</v>
      </c>
      <c r="E869">
        <v>612</v>
      </c>
      <c r="F869">
        <v>465</v>
      </c>
      <c r="G869">
        <v>3.1</v>
      </c>
      <c r="H869" s="4">
        <v>201500</v>
      </c>
      <c r="I869" s="8" t="str" cm="1">
        <f t="array" ref="I869">_xlfn.IFS(H869&lt;50000,"Under $50K", H869&lt;100000,"$50K–$100K",
     H869&lt;200000,"$100K–$200K", H869&lt;500000,"$200K–$500K",
     H869&gt;=500000,"$500K+")</f>
        <v>$200K–$500K</v>
      </c>
      <c r="J869" s="9" t="str">
        <f t="shared" si="65"/>
        <v>2020s</v>
      </c>
      <c r="K869">
        <f t="shared" si="66"/>
        <v>4.3894490273958649E-2</v>
      </c>
      <c r="L869">
        <f t="shared" si="67"/>
        <v>0.26847575057736722</v>
      </c>
      <c r="M869">
        <f t="shared" si="68"/>
        <v>0.72340425531914887</v>
      </c>
      <c r="N869">
        <f t="shared" si="69"/>
        <v>0.34525816539015824</v>
      </c>
    </row>
    <row r="870" spans="1:14">
      <c r="A870" t="s">
        <v>31</v>
      </c>
      <c r="B870" t="s">
        <v>159</v>
      </c>
      <c r="C870">
        <v>2021</v>
      </c>
      <c r="D870">
        <v>4</v>
      </c>
      <c r="E870">
        <v>577</v>
      </c>
      <c r="F870">
        <v>516</v>
      </c>
      <c r="G870">
        <v>3.5</v>
      </c>
      <c r="H870" s="4">
        <v>183000</v>
      </c>
      <c r="I870" s="8" t="str" cm="1">
        <f t="array" ref="I870">_xlfn.IFS(H870&lt;50000,"Under $50K", H870&lt;100000,"$50K–$100K",
     H870&lt;200000,"$100K–$200K", H870&lt;500000,"$200K–$500K",
     H870&gt;=500000,"$500K+")</f>
        <v>$100K–$200K</v>
      </c>
      <c r="J870" s="9" t="str">
        <f t="shared" si="65"/>
        <v>2020s</v>
      </c>
      <c r="K870">
        <f t="shared" si="66"/>
        <v>4.0329972502291478E-2</v>
      </c>
      <c r="L870">
        <f t="shared" si="67"/>
        <v>0.29792147806004621</v>
      </c>
      <c r="M870">
        <f t="shared" si="68"/>
        <v>0.63829787234042556</v>
      </c>
      <c r="N870">
        <f t="shared" si="69"/>
        <v>0.32551644096758775</v>
      </c>
    </row>
    <row r="871" spans="1:14">
      <c r="A871" t="s">
        <v>36</v>
      </c>
      <c r="B871" t="s">
        <v>156</v>
      </c>
      <c r="C871">
        <v>2021</v>
      </c>
      <c r="D871" t="s">
        <v>85</v>
      </c>
      <c r="E871">
        <v>750</v>
      </c>
      <c r="F871">
        <v>774</v>
      </c>
      <c r="G871">
        <v>2.6</v>
      </c>
      <c r="H871" s="4">
        <v>185000</v>
      </c>
      <c r="I871" s="8" t="str" cm="1">
        <f t="array" ref="I871">_xlfn.IFS(H871&lt;50000,"Under $50K", H871&lt;100000,"$50K–$100K",
     H871&lt;200000,"$100K–$200K", H871&lt;500000,"$200K–$500K",
     H871&gt;=500000,"$500K+")</f>
        <v>$100K–$200K</v>
      </c>
      <c r="J871" s="9" t="str">
        <f t="shared" si="65"/>
        <v>2020s</v>
      </c>
      <c r="K871">
        <f t="shared" si="66"/>
        <v>5.7948874630817805E-2</v>
      </c>
      <c r="L871">
        <f t="shared" si="67"/>
        <v>0.44688221709006931</v>
      </c>
      <c r="M871">
        <f t="shared" si="68"/>
        <v>0.82978723404255317</v>
      </c>
      <c r="N871">
        <f t="shared" si="69"/>
        <v>0.4448727752544801</v>
      </c>
    </row>
    <row r="872" spans="1:14">
      <c r="A872" t="s">
        <v>13</v>
      </c>
      <c r="B872" t="s">
        <v>89</v>
      </c>
      <c r="C872">
        <v>2021</v>
      </c>
      <c r="D872">
        <v>4</v>
      </c>
      <c r="E872">
        <v>591</v>
      </c>
      <c r="F872">
        <v>590</v>
      </c>
      <c r="G872">
        <v>3.5</v>
      </c>
      <c r="H872" s="4">
        <v>114000</v>
      </c>
      <c r="I872" s="8" t="str" cm="1">
        <f t="array" ref="I872">_xlfn.IFS(H872&lt;50000,"Under $50K", H872&lt;100000,"$50K–$100K",
     H872&lt;200000,"$100K–$200K", H872&lt;500000,"$200K–$500K",
     H872&gt;=500000,"$500K+")</f>
        <v>$100K–$200K</v>
      </c>
      <c r="J872" s="9" t="str">
        <f t="shared" si="65"/>
        <v>2020s</v>
      </c>
      <c r="K872">
        <f t="shared" si="66"/>
        <v>4.1755779610958346E-2</v>
      </c>
      <c r="L872">
        <f t="shared" si="67"/>
        <v>0.34064665127020788</v>
      </c>
      <c r="M872">
        <f t="shared" si="68"/>
        <v>0.63829787234042556</v>
      </c>
      <c r="N872">
        <f t="shared" si="69"/>
        <v>0.34023343440719728</v>
      </c>
    </row>
    <row r="873" spans="1:14">
      <c r="A873" t="s">
        <v>15</v>
      </c>
      <c r="B873" t="s">
        <v>90</v>
      </c>
      <c r="C873">
        <v>2021</v>
      </c>
      <c r="D873">
        <v>3</v>
      </c>
      <c r="E873">
        <v>473</v>
      </c>
      <c r="F873">
        <v>406</v>
      </c>
      <c r="G873">
        <v>4.0999999999999996</v>
      </c>
      <c r="H873" s="4">
        <v>71800</v>
      </c>
      <c r="I873" s="8" t="str" cm="1">
        <f t="array" ref="I873">_xlfn.IFS(H873&lt;50000,"Under $50K", H873&lt;100000,"$50K–$100K",
     H873&lt;200000,"$100K–$200K", H873&lt;500000,"$200K–$500K",
     H873&gt;=500000,"$500K+")</f>
        <v>$50K–$100K</v>
      </c>
      <c r="J873" s="9" t="str">
        <f t="shared" si="65"/>
        <v>2020s</v>
      </c>
      <c r="K873">
        <f t="shared" si="66"/>
        <v>2.9738262552194725E-2</v>
      </c>
      <c r="L873">
        <f t="shared" si="67"/>
        <v>0.23441108545034642</v>
      </c>
      <c r="M873">
        <f t="shared" si="68"/>
        <v>0.5106382978723405</v>
      </c>
      <c r="N873">
        <f t="shared" si="69"/>
        <v>0.25826254862496056</v>
      </c>
    </row>
    <row r="874" spans="1:14">
      <c r="A874" t="s">
        <v>17</v>
      </c>
      <c r="B874" t="s">
        <v>91</v>
      </c>
      <c r="C874">
        <v>2021</v>
      </c>
      <c r="D874">
        <v>6.2</v>
      </c>
      <c r="E874">
        <v>650</v>
      </c>
      <c r="F874">
        <v>650</v>
      </c>
      <c r="G874">
        <v>3.5</v>
      </c>
      <c r="H874" s="4">
        <v>63000</v>
      </c>
      <c r="I874" s="8" t="str" cm="1">
        <f t="array" ref="I874">_xlfn.IFS(H874&lt;50000,"Under $50K", H874&lt;100000,"$50K–$100K",
     H874&lt;200000,"$100K–$200K", H874&lt;500000,"$200K–$500K",
     H874&gt;=500000,"$500K+")</f>
        <v>$50K–$100K</v>
      </c>
      <c r="J874" s="9" t="str">
        <f t="shared" si="65"/>
        <v>2020s</v>
      </c>
      <c r="K874">
        <f t="shared" si="66"/>
        <v>4.7764538140340158E-2</v>
      </c>
      <c r="L874">
        <f t="shared" si="67"/>
        <v>0.37528868360277134</v>
      </c>
      <c r="M874">
        <f t="shared" si="68"/>
        <v>0.63829787234042556</v>
      </c>
      <c r="N874">
        <f t="shared" si="69"/>
        <v>0.35378369802784571</v>
      </c>
    </row>
    <row r="875" spans="1:14">
      <c r="A875" t="s">
        <v>18</v>
      </c>
      <c r="B875" t="s">
        <v>114</v>
      </c>
      <c r="C875">
        <v>2022</v>
      </c>
      <c r="D875">
        <v>6.2</v>
      </c>
      <c r="E875">
        <v>797</v>
      </c>
      <c r="F875">
        <v>707</v>
      </c>
      <c r="G875">
        <v>3.5</v>
      </c>
      <c r="H875" s="4">
        <v>80190</v>
      </c>
      <c r="I875" s="8" t="str" cm="1">
        <f t="array" ref="I875">_xlfn.IFS(H875&lt;50000,"Under $50K", H875&lt;100000,"$50K–$100K",
     H875&lt;200000,"$100K–$200K", H875&lt;500000,"$200K–$500K",
     H875&gt;=500000,"$500K+")</f>
        <v>$50K–$100K</v>
      </c>
      <c r="J875" s="9" t="str">
        <f t="shared" si="65"/>
        <v>2020s</v>
      </c>
      <c r="K875">
        <f t="shared" si="66"/>
        <v>6.273551278134229E-2</v>
      </c>
      <c r="L875">
        <f t="shared" si="67"/>
        <v>0.40819861431870669</v>
      </c>
      <c r="M875">
        <f t="shared" si="68"/>
        <v>0.63829787234042556</v>
      </c>
      <c r="N875">
        <f t="shared" si="69"/>
        <v>0.36974399981349154</v>
      </c>
    </row>
    <row r="876" spans="1:14">
      <c r="A876" t="s">
        <v>20</v>
      </c>
      <c r="B876" t="s">
        <v>92</v>
      </c>
      <c r="C876">
        <v>2022</v>
      </c>
      <c r="D876">
        <v>3.5</v>
      </c>
      <c r="E876">
        <v>660</v>
      </c>
      <c r="F876">
        <v>550</v>
      </c>
      <c r="G876">
        <v>2.8</v>
      </c>
      <c r="H876" s="4">
        <v>500000</v>
      </c>
      <c r="I876" s="8" t="str" cm="1">
        <f t="array" ref="I876">_xlfn.IFS(H876&lt;50000,"Under $50K", H876&lt;100000,"$50K–$100K",
     H876&lt;200000,"$100K–$200K", H876&lt;500000,"$200K–$500K",
     H876&gt;=500000,"$500K+")</f>
        <v>$500K+</v>
      </c>
      <c r="J876" s="9" t="str">
        <f t="shared" si="65"/>
        <v>2020s</v>
      </c>
      <c r="K876">
        <f t="shared" si="66"/>
        <v>4.8782971789387924E-2</v>
      </c>
      <c r="L876">
        <f t="shared" si="67"/>
        <v>0.31755196304849886</v>
      </c>
      <c r="M876">
        <f t="shared" si="68"/>
        <v>0.78723404255319152</v>
      </c>
      <c r="N876">
        <f t="shared" si="69"/>
        <v>0.38452299246369276</v>
      </c>
    </row>
    <row r="877" spans="1:14">
      <c r="A877" t="s">
        <v>21</v>
      </c>
      <c r="B877" t="s">
        <v>72</v>
      </c>
      <c r="C877">
        <v>2021</v>
      </c>
      <c r="D877">
        <v>3</v>
      </c>
      <c r="E877">
        <v>380</v>
      </c>
      <c r="F877">
        <v>339</v>
      </c>
      <c r="G877">
        <v>4.4000000000000004</v>
      </c>
      <c r="H877" s="4">
        <v>62750</v>
      </c>
      <c r="I877" s="8" t="str" cm="1">
        <f t="array" ref="I877">_xlfn.IFS(H877&lt;50000,"Under $50K", H877&lt;100000,"$50K–$100K",
     H877&lt;200000,"$100K–$200K", H877&lt;500000,"$200K–$500K",
     H877&gt;=500000,"$500K+")</f>
        <v>$50K–$100K</v>
      </c>
      <c r="J877" s="9" t="str">
        <f t="shared" si="65"/>
        <v>2020s</v>
      </c>
      <c r="K877">
        <f t="shared" si="66"/>
        <v>2.0266829616050513E-2</v>
      </c>
      <c r="L877">
        <f t="shared" si="67"/>
        <v>0.19572748267898382</v>
      </c>
      <c r="M877">
        <f t="shared" si="68"/>
        <v>0.44680851063829774</v>
      </c>
      <c r="N877">
        <f t="shared" si="69"/>
        <v>0.22093427431111068</v>
      </c>
    </row>
    <row r="878" spans="1:14">
      <c r="A878" t="s">
        <v>25</v>
      </c>
      <c r="B878" t="s">
        <v>74</v>
      </c>
      <c r="C878">
        <v>2021</v>
      </c>
      <c r="D878">
        <v>5</v>
      </c>
      <c r="E878">
        <v>471</v>
      </c>
      <c r="F878">
        <v>398</v>
      </c>
      <c r="G878">
        <v>4.4000000000000004</v>
      </c>
      <c r="H878" s="4">
        <v>92000</v>
      </c>
      <c r="I878" s="8" t="str" cm="1">
        <f t="array" ref="I878">_xlfn.IFS(H878&lt;50000,"Under $50K", H878&lt;100000,"$50K–$100K",
     H878&lt;200000,"$100K–$200K", H878&lt;500000,"$200K–$500K",
     H878&gt;=500000,"$500K+")</f>
        <v>$50K–$100K</v>
      </c>
      <c r="J878" s="9" t="str">
        <f t="shared" si="65"/>
        <v>2020s</v>
      </c>
      <c r="K878">
        <f t="shared" si="66"/>
        <v>2.9534575822385171E-2</v>
      </c>
      <c r="L878">
        <f t="shared" si="67"/>
        <v>0.22979214780600463</v>
      </c>
      <c r="M878">
        <f t="shared" si="68"/>
        <v>0.44680851063829774</v>
      </c>
      <c r="N878">
        <f t="shared" si="69"/>
        <v>0.23537841142222918</v>
      </c>
    </row>
    <row r="879" spans="1:14">
      <c r="A879" t="s">
        <v>26</v>
      </c>
      <c r="B879" t="s">
        <v>191</v>
      </c>
      <c r="C879">
        <v>2021</v>
      </c>
      <c r="D879" t="s">
        <v>85</v>
      </c>
      <c r="E879">
        <v>2000</v>
      </c>
      <c r="F879">
        <v>1254</v>
      </c>
      <c r="G879">
        <v>2.8</v>
      </c>
      <c r="H879" s="4">
        <v>2800000</v>
      </c>
      <c r="I879" s="8" t="str" cm="1">
        <f t="array" ref="I879">_xlfn.IFS(H879&lt;50000,"Under $50K", H879&lt;100000,"$50K–$100K",
     H879&lt;200000,"$100K–$200K", H879&lt;500000,"$200K–$500K",
     H879&gt;=500000,"$500K+")</f>
        <v>$500K+</v>
      </c>
      <c r="J879" s="9" t="str">
        <f t="shared" si="65"/>
        <v>2020s</v>
      </c>
      <c r="K879">
        <f t="shared" si="66"/>
        <v>0.18525308076178837</v>
      </c>
      <c r="L879">
        <f t="shared" si="67"/>
        <v>0.72401847575057732</v>
      </c>
      <c r="M879">
        <f t="shared" si="68"/>
        <v>0.78723404255319152</v>
      </c>
      <c r="N879">
        <f t="shared" si="69"/>
        <v>0.56550186635518573</v>
      </c>
    </row>
    <row r="880" spans="1:14">
      <c r="A880" t="s">
        <v>27</v>
      </c>
      <c r="B880" t="s">
        <v>76</v>
      </c>
      <c r="C880">
        <v>2021</v>
      </c>
      <c r="D880" t="s">
        <v>85</v>
      </c>
      <c r="E880">
        <v>550</v>
      </c>
      <c r="F880" t="s">
        <v>141</v>
      </c>
      <c r="G880">
        <v>2.8</v>
      </c>
      <c r="H880" s="4">
        <v>200000</v>
      </c>
      <c r="I880" s="8" t="str" cm="1">
        <f t="array" ref="I880">_xlfn.IFS(H880&lt;50000,"Under $50K", H880&lt;100000,"$50K–$100K",
     H880&lt;200000,"$100K–$200K", H880&lt;500000,"$200K–$500K",
     H880&gt;=500000,"$500K+")</f>
        <v>$200K–$500K</v>
      </c>
      <c r="J880" s="9" t="str">
        <f t="shared" si="65"/>
        <v>2020s</v>
      </c>
      <c r="K880">
        <f t="shared" si="66"/>
        <v>3.7580201649862512E-2</v>
      </c>
      <c r="L880" t="e">
        <f t="shared" si="67"/>
        <v>#VALUE!</v>
      </c>
      <c r="M880">
        <f t="shared" si="68"/>
        <v>0.78723404255319152</v>
      </c>
      <c r="N880" t="e">
        <f t="shared" si="69"/>
        <v>#VALUE!</v>
      </c>
    </row>
    <row r="881" spans="1:14">
      <c r="A881" t="s">
        <v>32</v>
      </c>
      <c r="B881" t="s">
        <v>117</v>
      </c>
      <c r="C881">
        <v>2021</v>
      </c>
      <c r="D881">
        <v>3.7</v>
      </c>
      <c r="E881">
        <v>332</v>
      </c>
      <c r="F881">
        <v>270</v>
      </c>
      <c r="G881">
        <v>5</v>
      </c>
      <c r="H881" s="4">
        <v>30090</v>
      </c>
      <c r="I881" s="8" t="str" cm="1">
        <f t="array" ref="I881">_xlfn.IFS(H881&lt;50000,"Under $50K", H881&lt;100000,"$50K–$100K",
     H881&lt;200000,"$100K–$200K", H881&lt;500000,"$200K–$500K",
     H881&gt;=500000,"$500K+")</f>
        <v>Under $50K</v>
      </c>
      <c r="J881" s="9" t="str">
        <f t="shared" si="65"/>
        <v>2020s</v>
      </c>
      <c r="K881">
        <f t="shared" si="66"/>
        <v>1.5378348100621244E-2</v>
      </c>
      <c r="L881">
        <f t="shared" si="67"/>
        <v>0.15588914549653579</v>
      </c>
      <c r="M881">
        <f t="shared" si="68"/>
        <v>0.31914893617021278</v>
      </c>
      <c r="N881">
        <f t="shared" si="69"/>
        <v>0.16347214325578993</v>
      </c>
    </row>
    <row r="882" spans="1:14">
      <c r="A882" t="s">
        <v>38</v>
      </c>
      <c r="B882" t="s">
        <v>244</v>
      </c>
      <c r="C882">
        <v>2021</v>
      </c>
      <c r="D882">
        <v>6.8</v>
      </c>
      <c r="E882">
        <v>563</v>
      </c>
      <c r="F882">
        <v>627</v>
      </c>
      <c r="G882">
        <v>4.5999999999999996</v>
      </c>
      <c r="H882" s="4">
        <v>332500</v>
      </c>
      <c r="I882" s="8" t="str" cm="1">
        <f t="array" ref="I882">_xlfn.IFS(H882&lt;50000,"Under $50K", H882&lt;100000,"$50K–$100K",
     H882&lt;200000,"$100K–$200K", H882&lt;500000,"$200K–$500K",
     H882&gt;=500000,"$500K+")</f>
        <v>$200K–$500K</v>
      </c>
      <c r="J882" s="9" t="str">
        <f t="shared" si="65"/>
        <v>2020s</v>
      </c>
      <c r="K882">
        <f t="shared" si="66"/>
        <v>3.8904165393624603E-2</v>
      </c>
      <c r="L882">
        <f t="shared" si="67"/>
        <v>0.36200923787528866</v>
      </c>
      <c r="M882">
        <f t="shared" si="68"/>
        <v>0.4042553191489362</v>
      </c>
      <c r="N882">
        <f t="shared" si="69"/>
        <v>0.26838957413928316</v>
      </c>
    </row>
    <row r="883" spans="1:14">
      <c r="A883" t="s">
        <v>36</v>
      </c>
      <c r="B883" t="s">
        <v>148</v>
      </c>
      <c r="C883">
        <v>2021</v>
      </c>
      <c r="D883">
        <v>2</v>
      </c>
      <c r="E883">
        <v>402</v>
      </c>
      <c r="F883">
        <v>254</v>
      </c>
      <c r="G883">
        <v>5.0999999999999996</v>
      </c>
      <c r="H883" s="4">
        <v>81250</v>
      </c>
      <c r="I883" s="8" t="str" cm="1">
        <f t="array" ref="I883">_xlfn.IFS(H883&lt;50000,"Under $50K", H883&lt;100000,"$50K–$100K",
     H883&lt;200000,"$100K–$200K", H883&lt;500000,"$200K–$500K",
     H883&gt;=500000,"$500K+")</f>
        <v>$50K–$100K</v>
      </c>
      <c r="J883" s="9" t="str">
        <f t="shared" si="65"/>
        <v>2020s</v>
      </c>
      <c r="K883">
        <f t="shared" si="66"/>
        <v>2.2507383643955596E-2</v>
      </c>
      <c r="L883">
        <f t="shared" si="67"/>
        <v>0.14665127020785218</v>
      </c>
      <c r="M883">
        <f t="shared" si="68"/>
        <v>0.29787234042553201</v>
      </c>
      <c r="N883">
        <f t="shared" si="69"/>
        <v>0.15567699809244659</v>
      </c>
    </row>
    <row r="884" spans="1:14">
      <c r="A884" t="s">
        <v>12</v>
      </c>
      <c r="B884" t="s">
        <v>69</v>
      </c>
      <c r="C884">
        <v>2021</v>
      </c>
      <c r="D884">
        <v>4</v>
      </c>
      <c r="E884">
        <v>630</v>
      </c>
      <c r="F884">
        <v>516</v>
      </c>
      <c r="G884">
        <v>3.7</v>
      </c>
      <c r="H884" s="4">
        <v>198995</v>
      </c>
      <c r="I884" s="8" t="str" cm="1">
        <f t="array" ref="I884">_xlfn.IFS(H884&lt;50000,"Under $50K", H884&lt;100000,"$50K–$100K",
     H884&lt;200000,"$100K–$200K", H884&lt;500000,"$200K–$500K",
     H884&gt;=500000,"$500K+")</f>
        <v>$100K–$200K</v>
      </c>
      <c r="J884" s="9" t="str">
        <f t="shared" si="65"/>
        <v>2020s</v>
      </c>
      <c r="K884">
        <f t="shared" si="66"/>
        <v>4.5727670842244626E-2</v>
      </c>
      <c r="L884">
        <f t="shared" si="67"/>
        <v>0.29792147806004621</v>
      </c>
      <c r="M884">
        <f t="shared" si="68"/>
        <v>0.5957446808510638</v>
      </c>
      <c r="N884">
        <f t="shared" si="69"/>
        <v>0.31313127658445156</v>
      </c>
    </row>
    <row r="885" spans="1:14">
      <c r="A885" t="s">
        <v>26</v>
      </c>
      <c r="B885" t="s">
        <v>75</v>
      </c>
      <c r="C885">
        <v>2021</v>
      </c>
      <c r="D885">
        <v>3.5</v>
      </c>
      <c r="E885">
        <v>416</v>
      </c>
      <c r="F885">
        <v>317</v>
      </c>
      <c r="G885">
        <v>3.8</v>
      </c>
      <c r="H885" s="4">
        <v>105000</v>
      </c>
      <c r="I885" s="8" t="str" cm="1">
        <f t="array" ref="I885">_xlfn.IFS(H885&lt;50000,"Under $50K", H885&lt;100000,"$50K–$100K",
     H885&lt;200000,"$100K–$200K", H885&lt;500000,"$200K–$500K",
     H885&gt;=500000,"$500K+")</f>
        <v>$100K–$200K</v>
      </c>
      <c r="J885" s="9" t="str">
        <f t="shared" si="65"/>
        <v>2020s</v>
      </c>
      <c r="K885">
        <f t="shared" si="66"/>
        <v>2.3933190752622468E-2</v>
      </c>
      <c r="L885">
        <f t="shared" si="67"/>
        <v>0.18302540415704388</v>
      </c>
      <c r="M885">
        <f t="shared" si="68"/>
        <v>0.57446808510638303</v>
      </c>
      <c r="N885">
        <f t="shared" si="69"/>
        <v>0.26047556000534983</v>
      </c>
    </row>
    <row r="886" spans="1:14">
      <c r="A886" t="s">
        <v>8</v>
      </c>
      <c r="B886" t="s">
        <v>123</v>
      </c>
      <c r="C886">
        <v>2022</v>
      </c>
      <c r="D886">
        <v>3.5</v>
      </c>
      <c r="E886">
        <v>573</v>
      </c>
      <c r="F886">
        <v>476</v>
      </c>
      <c r="G886">
        <v>2.7</v>
      </c>
      <c r="H886" s="4">
        <v>157500</v>
      </c>
      <c r="I886" s="8" t="str" cm="1">
        <f t="array" ref="I886">_xlfn.IFS(H886&lt;50000,"Under $50K", H886&lt;100000,"$50K–$100K",
     H886&lt;200000,"$100K–$200K", H886&lt;500000,"$200K–$500K",
     H886&gt;=500000,"$500K+")</f>
        <v>$100K–$200K</v>
      </c>
      <c r="J886" s="9" t="str">
        <f t="shared" si="65"/>
        <v>2020s</v>
      </c>
      <c r="K886">
        <f t="shared" si="66"/>
        <v>3.9922599042672369E-2</v>
      </c>
      <c r="L886">
        <f t="shared" si="67"/>
        <v>0.27482678983833719</v>
      </c>
      <c r="M886">
        <f t="shared" si="68"/>
        <v>0.80851063829787229</v>
      </c>
      <c r="N886">
        <f t="shared" si="69"/>
        <v>0.3744200090596273</v>
      </c>
    </row>
    <row r="887" spans="1:14">
      <c r="A887" t="s">
        <v>41</v>
      </c>
      <c r="B887" t="s">
        <v>127</v>
      </c>
      <c r="C887">
        <v>2022</v>
      </c>
      <c r="D887">
        <v>0</v>
      </c>
      <c r="E887" s="1">
        <v>10000</v>
      </c>
      <c r="F887" s="1">
        <v>7376</v>
      </c>
      <c r="G887">
        <v>1.9</v>
      </c>
      <c r="H887" s="4">
        <v>200000</v>
      </c>
      <c r="I887" s="8" t="str" cm="1">
        <f t="array" ref="I887">_xlfn.IFS(H887&lt;50000,"Under $50K", H887&lt;100000,"$50K–$100K",
     H887&lt;200000,"$100K–$200K", H887&lt;500000,"$200K–$500K",
     H887&gt;=500000,"$500K+")</f>
        <v>$200K–$500K</v>
      </c>
      <c r="J887" s="9" t="str">
        <f t="shared" si="65"/>
        <v>2020s</v>
      </c>
      <c r="K887">
        <f t="shared" si="66"/>
        <v>1</v>
      </c>
      <c r="L887">
        <f t="shared" si="67"/>
        <v>4.2586605080831408</v>
      </c>
      <c r="M887">
        <f t="shared" si="68"/>
        <v>0.97872340425531923</v>
      </c>
      <c r="N887">
        <f t="shared" si="69"/>
        <v>2.0791279707794867</v>
      </c>
    </row>
    <row r="888" spans="1:14">
      <c r="A888" t="s">
        <v>17</v>
      </c>
      <c r="B888" t="s">
        <v>215</v>
      </c>
      <c r="C888">
        <v>2022</v>
      </c>
      <c r="D888">
        <v>6.2</v>
      </c>
      <c r="E888">
        <v>455</v>
      </c>
      <c r="F888">
        <v>455</v>
      </c>
      <c r="G888">
        <v>4</v>
      </c>
      <c r="H888" s="4">
        <v>25000</v>
      </c>
      <c r="I888" s="8" t="str" cm="1">
        <f t="array" ref="I888">_xlfn.IFS(H888&lt;50000,"Under $50K", H888&lt;100000,"$50K–$100K",
     H888&lt;200000,"$100K–$200K", H888&lt;500000,"$200K–$500K",
     H888&gt;=500000,"$500K+")</f>
        <v>Under $50K</v>
      </c>
      <c r="J888" s="9" t="str">
        <f t="shared" si="65"/>
        <v>2020s</v>
      </c>
      <c r="K888">
        <f t="shared" si="66"/>
        <v>2.7905081983908748E-2</v>
      </c>
      <c r="L888">
        <f t="shared" si="67"/>
        <v>0.26270207852193994</v>
      </c>
      <c r="M888">
        <f t="shared" si="68"/>
        <v>0.53191489361702127</v>
      </c>
      <c r="N888">
        <f t="shared" si="69"/>
        <v>0.27417401804095665</v>
      </c>
    </row>
    <row r="889" spans="1:14">
      <c r="A889" t="s">
        <v>18</v>
      </c>
      <c r="B889" t="s">
        <v>245</v>
      </c>
      <c r="C889">
        <v>2021</v>
      </c>
      <c r="D889">
        <v>6.2</v>
      </c>
      <c r="E889">
        <v>797</v>
      </c>
      <c r="F889">
        <v>707</v>
      </c>
      <c r="G889">
        <v>3.3</v>
      </c>
      <c r="H889" s="4">
        <v>72000</v>
      </c>
      <c r="I889" s="8" t="str" cm="1">
        <f t="array" ref="I889">_xlfn.IFS(H889&lt;50000,"Under $50K", H889&lt;100000,"$50K–$100K",
     H889&lt;200000,"$100K–$200K", H889&lt;500000,"$200K–$500K",
     H889&gt;=500000,"$500K+")</f>
        <v>$50K–$100K</v>
      </c>
      <c r="J889" s="9" t="str">
        <f t="shared" si="65"/>
        <v>2020s</v>
      </c>
      <c r="K889">
        <f t="shared" si="66"/>
        <v>6.273551278134229E-2</v>
      </c>
      <c r="L889">
        <f t="shared" si="67"/>
        <v>0.40819861431870669</v>
      </c>
      <c r="M889">
        <f t="shared" si="68"/>
        <v>0.68085106382978733</v>
      </c>
      <c r="N889">
        <f t="shared" si="69"/>
        <v>0.38392839697661207</v>
      </c>
    </row>
    <row r="890" spans="1:14">
      <c r="A890" t="s">
        <v>21</v>
      </c>
      <c r="B890" t="s">
        <v>72</v>
      </c>
      <c r="C890">
        <v>2021</v>
      </c>
      <c r="D890">
        <v>3</v>
      </c>
      <c r="E890">
        <v>380</v>
      </c>
      <c r="F890">
        <v>339</v>
      </c>
      <c r="G890">
        <v>4.9000000000000004</v>
      </c>
      <c r="H890" s="4">
        <v>62750</v>
      </c>
      <c r="I890" s="8" t="str" cm="1">
        <f t="array" ref="I890">_xlfn.IFS(H890&lt;50000,"Under $50K", H890&lt;100000,"$50K–$100K",
     H890&lt;200000,"$100K–$200K", H890&lt;500000,"$200K–$500K",
     H890&gt;=500000,"$500K+")</f>
        <v>$50K–$100K</v>
      </c>
      <c r="J890" s="9" t="str">
        <f t="shared" si="65"/>
        <v>2020s</v>
      </c>
      <c r="K890">
        <f t="shared" si="66"/>
        <v>2.0266829616050513E-2</v>
      </c>
      <c r="L890">
        <f t="shared" si="67"/>
        <v>0.19572748267898382</v>
      </c>
      <c r="M890">
        <f t="shared" si="68"/>
        <v>0.34042553191489355</v>
      </c>
      <c r="N890">
        <f t="shared" si="69"/>
        <v>0.18547328140330929</v>
      </c>
    </row>
    <row r="891" spans="1:14">
      <c r="A891" t="s">
        <v>25</v>
      </c>
      <c r="B891" t="s">
        <v>74</v>
      </c>
      <c r="C891">
        <v>2021</v>
      </c>
      <c r="D891">
        <v>5</v>
      </c>
      <c r="E891">
        <v>471</v>
      </c>
      <c r="F891">
        <v>398</v>
      </c>
      <c r="G891">
        <v>4.4000000000000004</v>
      </c>
      <c r="H891" s="4">
        <v>93000</v>
      </c>
      <c r="I891" s="8" t="str" cm="1">
        <f t="array" ref="I891">_xlfn.IFS(H891&lt;50000,"Under $50K", H891&lt;100000,"$50K–$100K",
     H891&lt;200000,"$100K–$200K", H891&lt;500000,"$200K–$500K",
     H891&gt;=500000,"$500K+")</f>
        <v>$50K–$100K</v>
      </c>
      <c r="J891" s="9" t="str">
        <f t="shared" si="65"/>
        <v>2020s</v>
      </c>
      <c r="K891">
        <f t="shared" si="66"/>
        <v>2.9534575822385171E-2</v>
      </c>
      <c r="L891">
        <f t="shared" si="67"/>
        <v>0.22979214780600463</v>
      </c>
      <c r="M891">
        <f t="shared" si="68"/>
        <v>0.44680851063829774</v>
      </c>
      <c r="N891">
        <f t="shared" si="69"/>
        <v>0.23537841142222918</v>
      </c>
    </row>
    <row r="892" spans="1:14">
      <c r="A892" t="s">
        <v>15</v>
      </c>
      <c r="B892" t="s">
        <v>90</v>
      </c>
      <c r="C892">
        <v>2022</v>
      </c>
      <c r="D892">
        <v>3</v>
      </c>
      <c r="E892">
        <v>473</v>
      </c>
      <c r="F892">
        <v>406</v>
      </c>
      <c r="G892">
        <v>4.0999999999999996</v>
      </c>
      <c r="H892" s="4">
        <v>71800</v>
      </c>
      <c r="I892" s="8" t="str" cm="1">
        <f t="array" ref="I892">_xlfn.IFS(H892&lt;50000,"Under $50K", H892&lt;100000,"$50K–$100K",
     H892&lt;200000,"$100K–$200K", H892&lt;500000,"$200K–$500K",
     H892&gt;=500000,"$500K+")</f>
        <v>$50K–$100K</v>
      </c>
      <c r="J892" s="9" t="str">
        <f t="shared" si="65"/>
        <v>2020s</v>
      </c>
      <c r="K892">
        <f t="shared" si="66"/>
        <v>2.9738262552194725E-2</v>
      </c>
      <c r="L892">
        <f t="shared" si="67"/>
        <v>0.23441108545034642</v>
      </c>
      <c r="M892">
        <f t="shared" si="68"/>
        <v>0.5106382978723405</v>
      </c>
      <c r="N892">
        <f t="shared" si="69"/>
        <v>0.25826254862496056</v>
      </c>
    </row>
    <row r="893" spans="1:14">
      <c r="A893" t="s">
        <v>20</v>
      </c>
      <c r="B893" t="s">
        <v>92</v>
      </c>
      <c r="C893">
        <v>2021</v>
      </c>
      <c r="D893">
        <v>3.5</v>
      </c>
      <c r="E893">
        <v>660</v>
      </c>
      <c r="F893">
        <v>550</v>
      </c>
      <c r="G893">
        <v>2.9</v>
      </c>
      <c r="H893" s="4">
        <v>500000</v>
      </c>
      <c r="I893" s="8" t="str" cm="1">
        <f t="array" ref="I893">_xlfn.IFS(H893&lt;50000,"Under $50K", H893&lt;100000,"$50K–$100K",
     H893&lt;200000,"$100K–$200K", H893&lt;500000,"$200K–$500K",
     H893&gt;=500000,"$500K+")</f>
        <v>$500K+</v>
      </c>
      <c r="J893" s="9" t="str">
        <f t="shared" si="65"/>
        <v>2020s</v>
      </c>
      <c r="K893">
        <f t="shared" si="66"/>
        <v>4.8782971789387924E-2</v>
      </c>
      <c r="L893">
        <f t="shared" si="67"/>
        <v>0.31755196304849886</v>
      </c>
      <c r="M893">
        <f t="shared" si="68"/>
        <v>0.76595744680851063</v>
      </c>
      <c r="N893">
        <f t="shared" si="69"/>
        <v>0.37743079388213246</v>
      </c>
    </row>
    <row r="894" spans="1:14">
      <c r="A894" t="s">
        <v>27</v>
      </c>
      <c r="B894" t="s">
        <v>76</v>
      </c>
      <c r="C894">
        <v>2021</v>
      </c>
      <c r="D894">
        <v>4.7</v>
      </c>
      <c r="E894">
        <v>454</v>
      </c>
      <c r="F894">
        <v>384</v>
      </c>
      <c r="G894">
        <v>4.7</v>
      </c>
      <c r="H894" s="4">
        <v>150980</v>
      </c>
      <c r="I894" s="8" t="str" cm="1">
        <f t="array" ref="I894">_xlfn.IFS(H894&lt;50000,"Under $50K", H894&lt;100000,"$50K–$100K",
     H894&lt;200000,"$100K–$200K", H894&lt;500000,"$200K–$500K",
     H894&gt;=500000,"$500K+")</f>
        <v>$100K–$200K</v>
      </c>
      <c r="J894" s="9" t="str">
        <f t="shared" si="65"/>
        <v>2020s</v>
      </c>
      <c r="K894">
        <f t="shared" si="66"/>
        <v>2.7803238619003971E-2</v>
      </c>
      <c r="L894">
        <f t="shared" si="67"/>
        <v>0.22170900692840648</v>
      </c>
      <c r="M894">
        <f t="shared" si="68"/>
        <v>0.38297872340425532</v>
      </c>
      <c r="N894">
        <f t="shared" si="69"/>
        <v>0.2108303229838886</v>
      </c>
    </row>
    <row r="895" spans="1:14">
      <c r="A895" t="s">
        <v>29</v>
      </c>
      <c r="B895" t="s">
        <v>110</v>
      </c>
      <c r="C895">
        <v>2021</v>
      </c>
      <c r="D895">
        <v>3.8</v>
      </c>
      <c r="E895">
        <v>592</v>
      </c>
      <c r="F895">
        <v>457</v>
      </c>
      <c r="G895">
        <v>2.8</v>
      </c>
      <c r="H895" s="4">
        <v>256500</v>
      </c>
      <c r="I895" s="8" t="str" cm="1">
        <f t="array" ref="I895">_xlfn.IFS(H895&lt;50000,"Under $50K", H895&lt;100000,"$50K–$100K",
     H895&lt;200000,"$100K–$200K", H895&lt;500000,"$200K–$500K",
     H895&gt;=500000,"$500K+")</f>
        <v>$200K–$500K</v>
      </c>
      <c r="J895" s="9" t="str">
        <f t="shared" si="65"/>
        <v>2020s</v>
      </c>
      <c r="K895">
        <f t="shared" si="66"/>
        <v>4.1857622975863124E-2</v>
      </c>
      <c r="L895">
        <f t="shared" si="67"/>
        <v>0.26385681293302543</v>
      </c>
      <c r="M895">
        <f t="shared" si="68"/>
        <v>0.78723404255319152</v>
      </c>
      <c r="N895">
        <f t="shared" si="69"/>
        <v>0.36431615948736001</v>
      </c>
    </row>
    <row r="896" spans="1:14">
      <c r="A896" t="s">
        <v>31</v>
      </c>
      <c r="B896" t="s">
        <v>82</v>
      </c>
      <c r="C896">
        <v>2021</v>
      </c>
      <c r="D896">
        <v>6.2</v>
      </c>
      <c r="E896">
        <v>622</v>
      </c>
      <c r="F896">
        <v>468</v>
      </c>
      <c r="G896">
        <v>3.6</v>
      </c>
      <c r="H896" s="4">
        <v>254995</v>
      </c>
      <c r="I896" s="8" t="str" cm="1">
        <f t="array" ref="I896">_xlfn.IFS(H896&lt;50000,"Under $50K", H896&lt;100000,"$50K–$100K",
     H896&lt;200000,"$100K–$200K", H896&lt;500000,"$200K–$500K",
     H896&gt;=500000,"$500K+")</f>
        <v>$200K–$500K</v>
      </c>
      <c r="J896" s="9" t="str">
        <f t="shared" si="65"/>
        <v>2020s</v>
      </c>
      <c r="K896">
        <f t="shared" si="66"/>
        <v>4.4912923923006415E-2</v>
      </c>
      <c r="L896">
        <f t="shared" si="67"/>
        <v>0.2702078521939954</v>
      </c>
      <c r="M896">
        <f t="shared" si="68"/>
        <v>0.61702127659574468</v>
      </c>
      <c r="N896">
        <f t="shared" si="69"/>
        <v>0.31071401757091549</v>
      </c>
    </row>
    <row r="897" spans="1:14">
      <c r="A897" t="s">
        <v>32</v>
      </c>
      <c r="B897" t="s">
        <v>117</v>
      </c>
      <c r="C897">
        <v>2021</v>
      </c>
      <c r="D897">
        <v>3.7</v>
      </c>
      <c r="E897">
        <v>332</v>
      </c>
      <c r="F897">
        <v>270</v>
      </c>
      <c r="G897">
        <v>5.2</v>
      </c>
      <c r="H897" s="4">
        <v>30000</v>
      </c>
      <c r="I897" s="8" t="str" cm="1">
        <f t="array" ref="I897">_xlfn.IFS(H897&lt;50000,"Under $50K", H897&lt;100000,"$50K–$100K",
     H897&lt;200000,"$100K–$200K", H897&lt;500000,"$200K–$500K",
     H897&gt;=500000,"$500K+")</f>
        <v>Under $50K</v>
      </c>
      <c r="J897" s="9" t="str">
        <f t="shared" si="65"/>
        <v>2020s</v>
      </c>
      <c r="K897">
        <f t="shared" si="66"/>
        <v>1.5378348100621244E-2</v>
      </c>
      <c r="L897">
        <f t="shared" si="67"/>
        <v>0.15588914549653579</v>
      </c>
      <c r="M897">
        <f t="shared" si="68"/>
        <v>0.27659574468085102</v>
      </c>
      <c r="N897">
        <f t="shared" si="69"/>
        <v>0.14928774609266934</v>
      </c>
    </row>
    <row r="898" spans="1:14">
      <c r="A898" t="s">
        <v>13</v>
      </c>
      <c r="B898" t="s">
        <v>152</v>
      </c>
      <c r="C898">
        <v>2021</v>
      </c>
      <c r="D898">
        <v>4</v>
      </c>
      <c r="E898">
        <v>591</v>
      </c>
      <c r="F898">
        <v>590</v>
      </c>
      <c r="G898">
        <v>3.4</v>
      </c>
      <c r="H898" s="4">
        <v>114000</v>
      </c>
      <c r="I898" s="8" t="str" cm="1">
        <f t="array" ref="I898">_xlfn.IFS(H898&lt;50000,"Under $50K", H898&lt;100000,"$50K–$100K",
     H898&lt;200000,"$100K–$200K", H898&lt;500000,"$200K–$500K",
     H898&gt;=500000,"$500K+")</f>
        <v>$100K–$200K</v>
      </c>
      <c r="J898" s="9" t="str">
        <f t="shared" si="65"/>
        <v>2020s</v>
      </c>
      <c r="K898">
        <f t="shared" si="66"/>
        <v>4.1755779610958346E-2</v>
      </c>
      <c r="L898">
        <f t="shared" si="67"/>
        <v>0.34064665127020788</v>
      </c>
      <c r="M898">
        <f t="shared" si="68"/>
        <v>0.65957446808510645</v>
      </c>
      <c r="N898">
        <f t="shared" si="69"/>
        <v>0.34732563298875752</v>
      </c>
    </row>
    <row r="899" spans="1:14">
      <c r="A899" t="s">
        <v>14</v>
      </c>
      <c r="B899" t="s">
        <v>80</v>
      </c>
      <c r="C899">
        <v>2021</v>
      </c>
      <c r="D899">
        <v>4</v>
      </c>
      <c r="E899">
        <v>542</v>
      </c>
      <c r="F899">
        <v>568</v>
      </c>
      <c r="G899">
        <v>3.9</v>
      </c>
      <c r="H899" s="4">
        <v>220000</v>
      </c>
      <c r="I899" s="8" t="str" cm="1">
        <f t="array" ref="I899">_xlfn.IFS(H899&lt;50000,"Under $50K", H899&lt;100000,"$50K–$100K",
     H899&lt;200000,"$100K–$200K", H899&lt;500000,"$200K–$500K",
     H899&gt;=500000,"$500K+")</f>
        <v>$200K–$500K</v>
      </c>
      <c r="J899" s="9" t="str">
        <f t="shared" ref="J899:J962" si="70">_xlfn.CONCAT(INT(C899/10)*10,"s")</f>
        <v>2020s</v>
      </c>
      <c r="K899">
        <f t="shared" ref="K899:K962" si="71">(E899-MIN($E$2:$E$1008))/(MAX($E$2:$E$1008)-MIN($E$2:$E$1008))</f>
        <v>3.67654547306243E-2</v>
      </c>
      <c r="L899">
        <f t="shared" ref="L899:L962" si="72">(F899-MIN($F$2:$F$501))/(MAX($F$2:$F$501)-MIN($F$2:$F$501))</f>
        <v>0.32794457274826788</v>
      </c>
      <c r="M899">
        <f t="shared" ref="M899:M962" si="73">1-((G899-MIN($G$2:$G$501))/(MAX($G$2:$G$501)-MIN($G$2:$G$501)))</f>
        <v>0.55319148936170226</v>
      </c>
      <c r="N899">
        <f t="shared" ref="N899:N962" si="74">AVERAGE(K899,L899,M899)</f>
        <v>0.30596717228019815</v>
      </c>
    </row>
    <row r="900" spans="1:14">
      <c r="A900" t="s">
        <v>16</v>
      </c>
      <c r="B900" t="s">
        <v>70</v>
      </c>
      <c r="C900">
        <v>2021</v>
      </c>
      <c r="D900">
        <v>8</v>
      </c>
      <c r="E900" s="1">
        <v>1500</v>
      </c>
      <c r="F900" s="1">
        <v>1180</v>
      </c>
      <c r="G900">
        <v>2.4</v>
      </c>
      <c r="H900" s="4">
        <v>3000000</v>
      </c>
      <c r="I900" s="8" t="str" cm="1">
        <f t="array" ref="I900">_xlfn.IFS(H900&lt;50000,"Under $50K", H900&lt;100000,"$50K–$100K",
     H900&lt;200000,"$100K–$200K", H900&lt;500000,"$200K–$500K",
     H900&gt;=500000,"$500K+")</f>
        <v>$500K+</v>
      </c>
      <c r="J900" s="9" t="str">
        <f t="shared" si="70"/>
        <v>2020s</v>
      </c>
      <c r="K900">
        <f t="shared" si="71"/>
        <v>0.13433139830940014</v>
      </c>
      <c r="L900">
        <f t="shared" si="72"/>
        <v>0.68129330254041576</v>
      </c>
      <c r="M900">
        <f t="shared" si="73"/>
        <v>0.87234042553191493</v>
      </c>
      <c r="N900">
        <f t="shared" si="74"/>
        <v>0.5626550421272436</v>
      </c>
    </row>
    <row r="901" spans="1:14">
      <c r="A901" t="s">
        <v>36</v>
      </c>
      <c r="B901" t="s">
        <v>102</v>
      </c>
      <c r="C901">
        <v>2022</v>
      </c>
      <c r="D901">
        <v>2</v>
      </c>
      <c r="E901">
        <v>300</v>
      </c>
      <c r="F901">
        <v>280</v>
      </c>
      <c r="G901">
        <v>4.5</v>
      </c>
      <c r="H901" s="4">
        <v>59900</v>
      </c>
      <c r="I901" s="8" t="str" cm="1">
        <f t="array" ref="I901">_xlfn.IFS(H901&lt;50000,"Under $50K", H901&lt;100000,"$50K–$100K",
     H901&lt;200000,"$100K–$200K", H901&lt;500000,"$200K–$500K",
     H901&gt;=500000,"$500K+")</f>
        <v>$50K–$100K</v>
      </c>
      <c r="J901" s="9" t="str">
        <f t="shared" si="70"/>
        <v>2020s</v>
      </c>
      <c r="K901">
        <f t="shared" si="71"/>
        <v>1.2119360423668398E-2</v>
      </c>
      <c r="L901">
        <f t="shared" si="72"/>
        <v>0.16166281755196305</v>
      </c>
      <c r="M901">
        <f t="shared" si="73"/>
        <v>0.42553191489361697</v>
      </c>
      <c r="N901">
        <f t="shared" si="74"/>
        <v>0.19977136428974948</v>
      </c>
    </row>
    <row r="902" spans="1:14">
      <c r="A902" t="s">
        <v>12</v>
      </c>
      <c r="B902" t="s">
        <v>107</v>
      </c>
      <c r="C902">
        <v>2021</v>
      </c>
      <c r="D902">
        <v>4</v>
      </c>
      <c r="E902">
        <v>503</v>
      </c>
      <c r="F902">
        <v>505</v>
      </c>
      <c r="G902">
        <v>3.5</v>
      </c>
      <c r="H902" s="4">
        <v>147000</v>
      </c>
      <c r="I902" s="8" t="str" cm="1">
        <f t="array" ref="I902">_xlfn.IFS(H902&lt;50000,"Under $50K", H902&lt;100000,"$50K–$100K",
     H902&lt;200000,"$100K–$200K", H902&lt;500000,"$200K–$500K",
     H902&gt;=500000,"$500K+")</f>
        <v>$100K–$200K</v>
      </c>
      <c r="J902" s="9" t="str">
        <f t="shared" si="70"/>
        <v>2020s</v>
      </c>
      <c r="K902">
        <f t="shared" si="71"/>
        <v>3.279356349933802E-2</v>
      </c>
      <c r="L902">
        <f t="shared" si="72"/>
        <v>0.29157043879907624</v>
      </c>
      <c r="M902">
        <f t="shared" si="73"/>
        <v>0.63829787234042556</v>
      </c>
      <c r="N902">
        <f t="shared" si="74"/>
        <v>0.32088729154627993</v>
      </c>
    </row>
    <row r="903" spans="1:14">
      <c r="A903" t="s">
        <v>9</v>
      </c>
      <c r="B903" t="s">
        <v>200</v>
      </c>
      <c r="C903">
        <v>2020</v>
      </c>
      <c r="D903">
        <v>1.7</v>
      </c>
      <c r="E903">
        <v>237</v>
      </c>
      <c r="F903">
        <v>258</v>
      </c>
      <c r="G903">
        <v>4.0999999999999996</v>
      </c>
      <c r="H903" s="4">
        <v>67150</v>
      </c>
      <c r="I903" s="8" t="str" cm="1">
        <f t="array" ref="I903">_xlfn.IFS(H903&lt;50000,"Under $50K", H903&lt;100000,"$50K–$100K",
     H903&lt;200000,"$100K–$200K", H903&lt;500000,"$200K–$500K",
     H903&gt;=500000,"$500K+")</f>
        <v>$50K–$100K</v>
      </c>
      <c r="J903" s="9" t="str">
        <f t="shared" si="70"/>
        <v>2020s</v>
      </c>
      <c r="K903">
        <f t="shared" si="71"/>
        <v>5.7032284346674811E-3</v>
      </c>
      <c r="L903">
        <f t="shared" si="72"/>
        <v>0.1489607390300231</v>
      </c>
      <c r="M903">
        <f t="shared" si="73"/>
        <v>0.5106382978723405</v>
      </c>
      <c r="N903">
        <f t="shared" si="74"/>
        <v>0.22176742177901035</v>
      </c>
    </row>
    <row r="904" spans="1:14">
      <c r="A904" t="s">
        <v>13</v>
      </c>
      <c r="B904" t="s">
        <v>185</v>
      </c>
      <c r="C904">
        <v>2022</v>
      </c>
      <c r="D904">
        <v>2.9</v>
      </c>
      <c r="E904">
        <v>444</v>
      </c>
      <c r="F904">
        <v>443</v>
      </c>
      <c r="G904">
        <v>3.5</v>
      </c>
      <c r="H904" s="4">
        <v>75100</v>
      </c>
      <c r="I904" s="8" t="str" cm="1">
        <f t="array" ref="I904">_xlfn.IFS(H904&lt;50000,"Under $50K", H904&lt;100000,"$50K–$100K",
     H904&lt;200000,"$100K–$200K", H904&lt;500000,"$200K–$500K",
     H904&gt;=500000,"$500K+")</f>
        <v>$50K–$100K</v>
      </c>
      <c r="J904" s="9" t="str">
        <f t="shared" si="70"/>
        <v>2020s</v>
      </c>
      <c r="K904">
        <f t="shared" si="71"/>
        <v>2.6784804969956208E-2</v>
      </c>
      <c r="L904">
        <f t="shared" si="72"/>
        <v>0.25577367205542723</v>
      </c>
      <c r="M904">
        <f t="shared" si="73"/>
        <v>0.63829787234042556</v>
      </c>
      <c r="N904">
        <f t="shared" si="74"/>
        <v>0.30695211645526971</v>
      </c>
    </row>
    <row r="905" spans="1:14">
      <c r="A905" t="s">
        <v>15</v>
      </c>
      <c r="B905" t="s">
        <v>113</v>
      </c>
      <c r="C905">
        <v>2022</v>
      </c>
      <c r="D905">
        <v>3</v>
      </c>
      <c r="E905">
        <v>405</v>
      </c>
      <c r="F905">
        <v>406</v>
      </c>
      <c r="G905">
        <v>4</v>
      </c>
      <c r="H905" s="4">
        <v>58900</v>
      </c>
      <c r="I905" s="8" t="str" cm="1">
        <f t="array" ref="I905">_xlfn.IFS(H905&lt;50000,"Under $50K", H905&lt;100000,"$50K–$100K",
     H905&lt;200000,"$100K–$200K", H905&lt;500000,"$200K–$500K",
     H905&gt;=500000,"$500K+")</f>
        <v>$50K–$100K</v>
      </c>
      <c r="J905" s="9" t="str">
        <f t="shared" si="70"/>
        <v>2020s</v>
      </c>
      <c r="K905">
        <f t="shared" si="71"/>
        <v>2.2812913738669924E-2</v>
      </c>
      <c r="L905">
        <f t="shared" si="72"/>
        <v>0.23441108545034642</v>
      </c>
      <c r="M905">
        <f t="shared" si="73"/>
        <v>0.53191489361702127</v>
      </c>
      <c r="N905">
        <f t="shared" si="74"/>
        <v>0.26304629760201254</v>
      </c>
    </row>
    <row r="906" spans="1:14">
      <c r="A906" t="s">
        <v>18</v>
      </c>
      <c r="B906" t="s">
        <v>71</v>
      </c>
      <c r="C906">
        <v>2021</v>
      </c>
      <c r="D906">
        <v>6.2</v>
      </c>
      <c r="E906">
        <v>717</v>
      </c>
      <c r="F906">
        <v>656</v>
      </c>
      <c r="G906">
        <v>3.5</v>
      </c>
      <c r="H906" s="4">
        <v>60695</v>
      </c>
      <c r="I906" s="8" t="str" cm="1">
        <f t="array" ref="I906">_xlfn.IFS(H906&lt;50000,"Under $50K", H906&lt;100000,"$50K–$100K",
     H906&lt;200000,"$100K–$200K", H906&lt;500000,"$200K–$500K",
     H906&gt;=500000,"$500K+")</f>
        <v>$50K–$100K</v>
      </c>
      <c r="J906" s="9" t="str">
        <f t="shared" si="70"/>
        <v>2020s</v>
      </c>
      <c r="K906">
        <f t="shared" si="71"/>
        <v>5.4588043588960182E-2</v>
      </c>
      <c r="L906">
        <f t="shared" si="72"/>
        <v>0.3787528868360277</v>
      </c>
      <c r="M906">
        <f t="shared" si="73"/>
        <v>0.63829787234042556</v>
      </c>
      <c r="N906">
        <f t="shared" si="74"/>
        <v>0.35721293425513778</v>
      </c>
    </row>
    <row r="907" spans="1:14">
      <c r="A907" t="s">
        <v>19</v>
      </c>
      <c r="B907" t="s">
        <v>199</v>
      </c>
      <c r="C907">
        <v>2022</v>
      </c>
      <c r="D907">
        <v>3.9</v>
      </c>
      <c r="E907">
        <v>710</v>
      </c>
      <c r="F907">
        <v>568</v>
      </c>
      <c r="G907">
        <v>2.9</v>
      </c>
      <c r="H907" s="4">
        <v>274390</v>
      </c>
      <c r="I907" s="8" t="str" cm="1">
        <f t="array" ref="I907">_xlfn.IFS(H907&lt;50000,"Under $50K", H907&lt;100000,"$50K–$100K",
     H907&lt;200000,"$100K–$200K", H907&lt;500000,"$200K–$500K",
     H907&gt;=500000,"$500K+")</f>
        <v>$200K–$500K</v>
      </c>
      <c r="J907" s="9" t="str">
        <f t="shared" si="70"/>
        <v>2020s</v>
      </c>
      <c r="K907">
        <f t="shared" si="71"/>
        <v>5.3875140034626741E-2</v>
      </c>
      <c r="L907">
        <f t="shared" si="72"/>
        <v>0.32794457274826788</v>
      </c>
      <c r="M907">
        <f t="shared" si="73"/>
        <v>0.76595744680851063</v>
      </c>
      <c r="N907">
        <f t="shared" si="74"/>
        <v>0.3825923865304684</v>
      </c>
    </row>
    <row r="908" spans="1:14">
      <c r="A908" t="s">
        <v>21</v>
      </c>
      <c r="B908" t="s">
        <v>72</v>
      </c>
      <c r="C908">
        <v>2021</v>
      </c>
      <c r="D908">
        <v>3</v>
      </c>
      <c r="E908">
        <v>296</v>
      </c>
      <c r="F908">
        <v>295</v>
      </c>
      <c r="G908">
        <v>5.4</v>
      </c>
      <c r="H908" s="4">
        <v>64700</v>
      </c>
      <c r="I908" s="8" t="str" cm="1">
        <f t="array" ref="I908">_xlfn.IFS(H908&lt;50000,"Under $50K", H908&lt;100000,"$50K–$100K",
     H908&lt;200000,"$100K–$200K", H908&lt;500000,"$200K–$500K",
     H908&gt;=500000,"$500K+")</f>
        <v>$50K–$100K</v>
      </c>
      <c r="J908" s="9" t="str">
        <f t="shared" si="70"/>
        <v>2020s</v>
      </c>
      <c r="K908">
        <f t="shared" si="71"/>
        <v>1.1711986964049292E-2</v>
      </c>
      <c r="L908">
        <f t="shared" si="72"/>
        <v>0.17032332563510394</v>
      </c>
      <c r="M908">
        <f t="shared" si="73"/>
        <v>0.23404255319148926</v>
      </c>
      <c r="N908">
        <f t="shared" si="74"/>
        <v>0.13869262193021417</v>
      </c>
    </row>
    <row r="909" spans="1:14">
      <c r="A909" t="s">
        <v>24</v>
      </c>
      <c r="B909" t="s">
        <v>115</v>
      </c>
      <c r="C909">
        <v>2021</v>
      </c>
      <c r="D909">
        <v>6.5</v>
      </c>
      <c r="E909">
        <v>759</v>
      </c>
      <c r="F909">
        <v>531</v>
      </c>
      <c r="G909">
        <v>2.9</v>
      </c>
      <c r="H909" s="4">
        <v>517770</v>
      </c>
      <c r="I909" s="8" t="str" cm="1">
        <f t="array" ref="I909">_xlfn.IFS(H909&lt;50000,"Under $50K", H909&lt;100000,"$50K–$100K",
     H909&lt;200000,"$100K–$200K", H909&lt;500000,"$200K–$500K",
     H909&gt;=500000,"$500K+")</f>
        <v>$500K+</v>
      </c>
      <c r="J909" s="9" t="str">
        <f t="shared" si="70"/>
        <v>2020s</v>
      </c>
      <c r="K909">
        <f t="shared" si="71"/>
        <v>5.8865464914960787E-2</v>
      </c>
      <c r="L909">
        <f t="shared" si="72"/>
        <v>0.30658198614318705</v>
      </c>
      <c r="M909">
        <f t="shared" si="73"/>
        <v>0.76595744680851063</v>
      </c>
      <c r="N909">
        <f t="shared" si="74"/>
        <v>0.37713496595555279</v>
      </c>
    </row>
    <row r="910" spans="1:14">
      <c r="A910" t="s">
        <v>25</v>
      </c>
      <c r="B910" t="s">
        <v>74</v>
      </c>
      <c r="C910">
        <v>2022</v>
      </c>
      <c r="D910">
        <v>5</v>
      </c>
      <c r="E910">
        <v>471</v>
      </c>
      <c r="F910">
        <v>398</v>
      </c>
      <c r="G910">
        <v>4.4000000000000004</v>
      </c>
      <c r="H910" s="4">
        <v>92950</v>
      </c>
      <c r="I910" s="8" t="str" cm="1">
        <f t="array" ref="I910">_xlfn.IFS(H910&lt;50000,"Under $50K", H910&lt;100000,"$50K–$100K",
     H910&lt;200000,"$100K–$200K", H910&lt;500000,"$200K–$500K",
     H910&gt;=500000,"$500K+")</f>
        <v>$50K–$100K</v>
      </c>
      <c r="J910" s="9" t="str">
        <f t="shared" si="70"/>
        <v>2020s</v>
      </c>
      <c r="K910">
        <f t="shared" si="71"/>
        <v>2.9534575822385171E-2</v>
      </c>
      <c r="L910">
        <f t="shared" si="72"/>
        <v>0.22979214780600463</v>
      </c>
      <c r="M910">
        <f t="shared" si="73"/>
        <v>0.44680851063829774</v>
      </c>
      <c r="N910">
        <f t="shared" si="74"/>
        <v>0.23537841142222918</v>
      </c>
    </row>
    <row r="911" spans="1:14">
      <c r="A911" t="s">
        <v>26</v>
      </c>
      <c r="B911" t="s">
        <v>75</v>
      </c>
      <c r="C911">
        <v>2021</v>
      </c>
      <c r="D911">
        <v>3.5</v>
      </c>
      <c r="E911">
        <v>416</v>
      </c>
      <c r="F911">
        <v>317</v>
      </c>
      <c r="G911">
        <v>3.8</v>
      </c>
      <c r="H911" s="4">
        <v>99990</v>
      </c>
      <c r="I911" s="8" t="str" cm="1">
        <f t="array" ref="I911">_xlfn.IFS(H911&lt;50000,"Under $50K", H911&lt;100000,"$50K–$100K",
     H911&lt;200000,"$100K–$200K", H911&lt;500000,"$200K–$500K",
     H911&gt;=500000,"$500K+")</f>
        <v>$50K–$100K</v>
      </c>
      <c r="J911" s="9" t="str">
        <f t="shared" si="70"/>
        <v>2020s</v>
      </c>
      <c r="K911">
        <f t="shared" si="71"/>
        <v>2.3933190752622468E-2</v>
      </c>
      <c r="L911">
        <f t="shared" si="72"/>
        <v>0.18302540415704388</v>
      </c>
      <c r="M911">
        <f t="shared" si="73"/>
        <v>0.57446808510638303</v>
      </c>
      <c r="N911">
        <f t="shared" si="74"/>
        <v>0.26047556000534983</v>
      </c>
    </row>
    <row r="912" spans="1:14">
      <c r="A912" t="s">
        <v>27</v>
      </c>
      <c r="B912" t="s">
        <v>76</v>
      </c>
      <c r="C912">
        <v>2021</v>
      </c>
      <c r="D912">
        <v>4.7</v>
      </c>
      <c r="E912">
        <v>454</v>
      </c>
      <c r="F912">
        <v>384</v>
      </c>
      <c r="G912">
        <v>4.7</v>
      </c>
      <c r="H912" s="4">
        <v>150800</v>
      </c>
      <c r="I912" s="8" t="str" cm="1">
        <f t="array" ref="I912">_xlfn.IFS(H912&lt;50000,"Under $50K", H912&lt;100000,"$50K–$100K",
     H912&lt;200000,"$100K–$200K", H912&lt;500000,"$200K–$500K",
     H912&gt;=500000,"$500K+")</f>
        <v>$100K–$200K</v>
      </c>
      <c r="J912" s="9" t="str">
        <f t="shared" si="70"/>
        <v>2020s</v>
      </c>
      <c r="K912">
        <f t="shared" si="71"/>
        <v>2.7803238619003971E-2</v>
      </c>
      <c r="L912">
        <f t="shared" si="72"/>
        <v>0.22170900692840648</v>
      </c>
      <c r="M912">
        <f t="shared" si="73"/>
        <v>0.38297872340425532</v>
      </c>
      <c r="N912">
        <f t="shared" si="74"/>
        <v>0.2108303229838886</v>
      </c>
    </row>
    <row r="913" spans="1:14">
      <c r="A913" t="s">
        <v>29</v>
      </c>
      <c r="B913" t="s">
        <v>92</v>
      </c>
      <c r="C913">
        <v>2021</v>
      </c>
      <c r="D913">
        <v>4</v>
      </c>
      <c r="E913">
        <v>612</v>
      </c>
      <c r="F913">
        <v>465</v>
      </c>
      <c r="G913">
        <v>3.1</v>
      </c>
      <c r="H913" s="4">
        <v>210000</v>
      </c>
      <c r="I913" s="8" t="str" cm="1">
        <f t="array" ref="I913">_xlfn.IFS(H913&lt;50000,"Under $50K", H913&lt;100000,"$50K–$100K",
     H913&lt;200000,"$100K–$200K", H913&lt;500000,"$200K–$500K",
     H913&gt;=500000,"$500K+")</f>
        <v>$200K–$500K</v>
      </c>
      <c r="J913" s="9" t="str">
        <f t="shared" si="70"/>
        <v>2020s</v>
      </c>
      <c r="K913">
        <f t="shared" si="71"/>
        <v>4.3894490273958649E-2</v>
      </c>
      <c r="L913">
        <f t="shared" si="72"/>
        <v>0.26847575057736722</v>
      </c>
      <c r="M913">
        <f t="shared" si="73"/>
        <v>0.72340425531914887</v>
      </c>
      <c r="N913">
        <f t="shared" si="74"/>
        <v>0.34525816539015824</v>
      </c>
    </row>
    <row r="914" spans="1:14">
      <c r="A914" t="s">
        <v>31</v>
      </c>
      <c r="B914" t="s">
        <v>149</v>
      </c>
      <c r="C914">
        <v>2021</v>
      </c>
      <c r="D914">
        <v>4</v>
      </c>
      <c r="E914">
        <v>469</v>
      </c>
      <c r="F914">
        <v>479</v>
      </c>
      <c r="G914">
        <v>3.8</v>
      </c>
      <c r="H914" s="4">
        <v>67600</v>
      </c>
      <c r="I914" s="8" t="str" cm="1">
        <f t="array" ref="I914">_xlfn.IFS(H914&lt;50000,"Under $50K", H914&lt;100000,"$50K–$100K",
     H914&lt;200000,"$100K–$200K", H914&lt;500000,"$200K–$500K",
     H914&gt;=500000,"$500K+")</f>
        <v>$50K–$100K</v>
      </c>
      <c r="J914" s="9" t="str">
        <f t="shared" si="70"/>
        <v>2020s</v>
      </c>
      <c r="K914">
        <f t="shared" si="71"/>
        <v>2.933088909257562E-2</v>
      </c>
      <c r="L914">
        <f t="shared" si="72"/>
        <v>0.27655889145496537</v>
      </c>
      <c r="M914">
        <f t="shared" si="73"/>
        <v>0.57446808510638303</v>
      </c>
      <c r="N914">
        <f t="shared" si="74"/>
        <v>0.29345262188464133</v>
      </c>
    </row>
    <row r="915" spans="1:14">
      <c r="A915" t="s">
        <v>32</v>
      </c>
      <c r="B915" t="s">
        <v>93</v>
      </c>
      <c r="C915">
        <v>2021</v>
      </c>
      <c r="D915">
        <v>3.7</v>
      </c>
      <c r="E915">
        <v>350</v>
      </c>
      <c r="F915">
        <v>276</v>
      </c>
      <c r="G915">
        <v>4.5</v>
      </c>
      <c r="H915" s="4">
        <v>45790</v>
      </c>
      <c r="I915" s="8" t="str" cm="1">
        <f t="array" ref="I915">_xlfn.IFS(H915&lt;50000,"Under $50K", H915&lt;100000,"$50K–$100K",
     H915&lt;200000,"$100K–$200K", H915&lt;500000,"$200K–$500K",
     H915&gt;=500000,"$500K+")</f>
        <v>Under $50K</v>
      </c>
      <c r="J915" s="9" t="str">
        <f t="shared" si="70"/>
        <v>2020s</v>
      </c>
      <c r="K915">
        <f t="shared" si="71"/>
        <v>1.7211528668907222E-2</v>
      </c>
      <c r="L915">
        <f t="shared" si="72"/>
        <v>0.15935334872979215</v>
      </c>
      <c r="M915">
        <f t="shared" si="73"/>
        <v>0.42553191489361697</v>
      </c>
      <c r="N915">
        <f t="shared" si="74"/>
        <v>0.20069893076410547</v>
      </c>
    </row>
    <row r="916" spans="1:14">
      <c r="A916" t="s">
        <v>36</v>
      </c>
      <c r="B916" t="s">
        <v>108</v>
      </c>
      <c r="C916">
        <v>2022</v>
      </c>
      <c r="D916">
        <v>2.9</v>
      </c>
      <c r="E916">
        <v>325</v>
      </c>
      <c r="F916">
        <v>331</v>
      </c>
      <c r="G916">
        <v>5.3</v>
      </c>
      <c r="H916" s="4">
        <v>88800</v>
      </c>
      <c r="I916" s="8" t="str" cm="1">
        <f t="array" ref="I916">_xlfn.IFS(H916&lt;50000,"Under $50K", H916&lt;100000,"$50K–$100K",
     H916&lt;200000,"$100K–$200K", H916&lt;500000,"$200K–$500K",
     H916&gt;=500000,"$500K+")</f>
        <v>$50K–$100K</v>
      </c>
      <c r="J916" s="9" t="str">
        <f t="shared" si="70"/>
        <v>2020s</v>
      </c>
      <c r="K916">
        <f t="shared" si="71"/>
        <v>1.466544454628781E-2</v>
      </c>
      <c r="L916">
        <f t="shared" si="72"/>
        <v>0.19110854503464203</v>
      </c>
      <c r="M916">
        <f t="shared" si="73"/>
        <v>0.25531914893617025</v>
      </c>
      <c r="N916">
        <f t="shared" si="74"/>
        <v>0.15369771283903336</v>
      </c>
    </row>
    <row r="917" spans="1:14">
      <c r="A917" t="s">
        <v>40</v>
      </c>
      <c r="B917" t="s">
        <v>163</v>
      </c>
      <c r="C917">
        <v>2021</v>
      </c>
      <c r="D917">
        <v>2.5</v>
      </c>
      <c r="E917">
        <v>310</v>
      </c>
      <c r="F917">
        <v>290</v>
      </c>
      <c r="G917">
        <v>5.2</v>
      </c>
      <c r="H917" s="4">
        <v>38170</v>
      </c>
      <c r="I917" s="8" t="str" cm="1">
        <f t="array" ref="I917">_xlfn.IFS(H917&lt;50000,"Under $50K", H917&lt;100000,"$50K–$100K",
     H917&lt;200000,"$100K–$200K", H917&lt;500000,"$200K–$500K",
     H917&gt;=500000,"$500K+")</f>
        <v>Under $50K</v>
      </c>
      <c r="J917" s="9" t="str">
        <f t="shared" si="70"/>
        <v>2020s</v>
      </c>
      <c r="K917">
        <f t="shared" si="71"/>
        <v>1.3137794072716162E-2</v>
      </c>
      <c r="L917">
        <f t="shared" si="72"/>
        <v>0.1674364896073903</v>
      </c>
      <c r="M917">
        <f t="shared" si="73"/>
        <v>0.27659574468085102</v>
      </c>
      <c r="N917">
        <f t="shared" si="74"/>
        <v>0.1523900094536525</v>
      </c>
    </row>
    <row r="918" spans="1:14">
      <c r="A918" t="s">
        <v>41</v>
      </c>
      <c r="B918" t="s">
        <v>127</v>
      </c>
      <c r="C918">
        <v>2022</v>
      </c>
      <c r="D918" t="s">
        <v>141</v>
      </c>
      <c r="E918" t="s">
        <v>178</v>
      </c>
      <c r="F918" t="s">
        <v>141</v>
      </c>
      <c r="G918">
        <v>1.9</v>
      </c>
      <c r="H918" s="4">
        <v>200000</v>
      </c>
      <c r="I918" s="8" t="str" cm="1">
        <f t="array" ref="I918">_xlfn.IFS(H918&lt;50000,"Under $50K", H918&lt;100000,"$50K–$100K",
     H918&lt;200000,"$100K–$200K", H918&lt;500000,"$200K–$500K",
     H918&gt;=500000,"$500K+")</f>
        <v>$200K–$500K</v>
      </c>
      <c r="J918" s="9" t="str">
        <f t="shared" si="70"/>
        <v>2020s</v>
      </c>
      <c r="K918" t="e">
        <f t="shared" si="71"/>
        <v>#VALUE!</v>
      </c>
      <c r="L918" t="e">
        <f t="shared" si="72"/>
        <v>#VALUE!</v>
      </c>
      <c r="M918">
        <f t="shared" si="73"/>
        <v>0.97872340425531923</v>
      </c>
      <c r="N918" t="e">
        <f t="shared" si="74"/>
        <v>#VALUE!</v>
      </c>
    </row>
    <row r="919" spans="1:14">
      <c r="A919" t="s">
        <v>36</v>
      </c>
      <c r="B919" t="s">
        <v>122</v>
      </c>
      <c r="C919">
        <v>2022</v>
      </c>
      <c r="D919">
        <v>2</v>
      </c>
      <c r="E919">
        <v>300</v>
      </c>
      <c r="F919">
        <v>280</v>
      </c>
      <c r="G919">
        <v>4.9000000000000004</v>
      </c>
      <c r="H919" s="4">
        <v>61500</v>
      </c>
      <c r="I919" s="8" t="str" cm="1">
        <f t="array" ref="I919">_xlfn.IFS(H919&lt;50000,"Under $50K", H919&lt;100000,"$50K–$100K",
     H919&lt;200000,"$100K–$200K", H919&lt;500000,"$200K–$500K",
     H919&gt;=500000,"$500K+")</f>
        <v>$50K–$100K</v>
      </c>
      <c r="J919" s="9" t="str">
        <f t="shared" si="70"/>
        <v>2020s</v>
      </c>
      <c r="K919">
        <f t="shared" si="71"/>
        <v>1.2119360423668398E-2</v>
      </c>
      <c r="L919">
        <f t="shared" si="72"/>
        <v>0.16166281755196305</v>
      </c>
      <c r="M919">
        <f t="shared" si="73"/>
        <v>0.34042553191489355</v>
      </c>
      <c r="N919">
        <f t="shared" si="74"/>
        <v>0.17140256996350833</v>
      </c>
    </row>
    <row r="920" spans="1:14">
      <c r="A920" t="s">
        <v>24</v>
      </c>
      <c r="B920" t="s">
        <v>115</v>
      </c>
      <c r="C920">
        <v>2021</v>
      </c>
      <c r="D920">
        <v>6.5</v>
      </c>
      <c r="E920">
        <v>729</v>
      </c>
      <c r="F920">
        <v>509</v>
      </c>
      <c r="G920">
        <v>2.9</v>
      </c>
      <c r="H920" s="4">
        <v>393695</v>
      </c>
      <c r="I920" s="8" t="str" cm="1">
        <f t="array" ref="I920">_xlfn.IFS(H920&lt;50000,"Under $50K", H920&lt;100000,"$50K–$100K",
     H920&lt;200000,"$100K–$200K", H920&lt;500000,"$200K–$500K",
     H920&gt;=500000,"$500K+")</f>
        <v>$200K–$500K</v>
      </c>
      <c r="J920" s="9" t="str">
        <f t="shared" si="70"/>
        <v>2020s</v>
      </c>
      <c r="K920">
        <f t="shared" si="71"/>
        <v>5.5810163967817496E-2</v>
      </c>
      <c r="L920">
        <f t="shared" si="72"/>
        <v>0.29387990762124711</v>
      </c>
      <c r="M920">
        <f t="shared" si="73"/>
        <v>0.76595744680851063</v>
      </c>
      <c r="N920">
        <f t="shared" si="74"/>
        <v>0.37188250613252505</v>
      </c>
    </row>
    <row r="921" spans="1:14">
      <c r="A921" t="s">
        <v>19</v>
      </c>
      <c r="B921" t="s">
        <v>88</v>
      </c>
      <c r="C921">
        <v>2022</v>
      </c>
      <c r="D921">
        <v>4</v>
      </c>
      <c r="E921">
        <v>986</v>
      </c>
      <c r="F921">
        <v>590</v>
      </c>
      <c r="G921">
        <v>2.5</v>
      </c>
      <c r="H921" s="4">
        <v>625000</v>
      </c>
      <c r="I921" s="8" t="str" cm="1">
        <f t="array" ref="I921">_xlfn.IFS(H921&lt;50000,"Under $50K", H921&lt;100000,"$50K–$100K",
     H921&lt;200000,"$100K–$200K", H921&lt;500000,"$200K–$500K",
     H921&gt;=500000,"$500K+")</f>
        <v>$500K+</v>
      </c>
      <c r="J921" s="9" t="str">
        <f t="shared" si="70"/>
        <v>2020s</v>
      </c>
      <c r="K921">
        <f t="shared" si="71"/>
        <v>8.1983908748345047E-2</v>
      </c>
      <c r="L921">
        <f t="shared" si="72"/>
        <v>0.34064665127020788</v>
      </c>
      <c r="M921">
        <f t="shared" si="73"/>
        <v>0.85106382978723405</v>
      </c>
      <c r="N921">
        <f t="shared" si="74"/>
        <v>0.42456479660192903</v>
      </c>
    </row>
    <row r="922" spans="1:14">
      <c r="A922" t="s">
        <v>13</v>
      </c>
      <c r="B922" t="s">
        <v>201</v>
      </c>
      <c r="C922">
        <v>2022</v>
      </c>
      <c r="D922">
        <v>2.9</v>
      </c>
      <c r="E922">
        <v>444</v>
      </c>
      <c r="F922">
        <v>443</v>
      </c>
      <c r="G922">
        <v>3.5</v>
      </c>
      <c r="H922" s="4">
        <v>76350</v>
      </c>
      <c r="I922" s="8" t="str" cm="1">
        <f t="array" ref="I922">_xlfn.IFS(H922&lt;50000,"Under $50K", H922&lt;100000,"$50K–$100K",
     H922&lt;200000,"$100K–$200K", H922&lt;500000,"$200K–$500K",
     H922&gt;=500000,"$500K+")</f>
        <v>$50K–$100K</v>
      </c>
      <c r="J922" s="9" t="str">
        <f t="shared" si="70"/>
        <v>2020s</v>
      </c>
      <c r="K922">
        <f t="shared" si="71"/>
        <v>2.6784804969956208E-2</v>
      </c>
      <c r="L922">
        <f t="shared" si="72"/>
        <v>0.25577367205542723</v>
      </c>
      <c r="M922">
        <f t="shared" si="73"/>
        <v>0.63829787234042556</v>
      </c>
      <c r="N922">
        <f t="shared" si="74"/>
        <v>0.30695211645526971</v>
      </c>
    </row>
    <row r="923" spans="1:14">
      <c r="A923" t="s">
        <v>29</v>
      </c>
      <c r="B923" t="s">
        <v>103</v>
      </c>
      <c r="C923">
        <v>2021</v>
      </c>
      <c r="D923">
        <v>3.8</v>
      </c>
      <c r="E923">
        <v>562</v>
      </c>
      <c r="F923">
        <v>443</v>
      </c>
      <c r="G923">
        <v>3.1</v>
      </c>
      <c r="H923" s="4">
        <v>202000</v>
      </c>
      <c r="I923" s="8" t="str" cm="1">
        <f t="array" ref="I923">_xlfn.IFS(H923&lt;50000,"Under $50K", H923&lt;100000,"$50K–$100K",
     H923&lt;200000,"$100K–$200K", H923&lt;500000,"$200K–$500K",
     H923&gt;=500000,"$500K+")</f>
        <v>$200K–$500K</v>
      </c>
      <c r="J923" s="9" t="str">
        <f t="shared" si="70"/>
        <v>2020s</v>
      </c>
      <c r="K923">
        <f t="shared" si="71"/>
        <v>3.8802322028719832E-2</v>
      </c>
      <c r="L923">
        <f t="shared" si="72"/>
        <v>0.25577367205542723</v>
      </c>
      <c r="M923">
        <f t="shared" si="73"/>
        <v>0.72340425531914887</v>
      </c>
      <c r="N923">
        <f t="shared" si="74"/>
        <v>0.33932674980109861</v>
      </c>
    </row>
    <row r="924" spans="1:14">
      <c r="A924" t="s">
        <v>15</v>
      </c>
      <c r="B924" t="s">
        <v>113</v>
      </c>
      <c r="C924">
        <v>2022</v>
      </c>
      <c r="D924">
        <v>3</v>
      </c>
      <c r="E924">
        <v>405</v>
      </c>
      <c r="F924">
        <v>406</v>
      </c>
      <c r="G924">
        <v>4</v>
      </c>
      <c r="H924" s="4">
        <v>58900</v>
      </c>
      <c r="I924" s="8" t="str" cm="1">
        <f t="array" ref="I924">_xlfn.IFS(H924&lt;50000,"Under $50K", H924&lt;100000,"$50K–$100K",
     H924&lt;200000,"$100K–$200K", H924&lt;500000,"$200K–$500K",
     H924&gt;=500000,"$500K+")</f>
        <v>$50K–$100K</v>
      </c>
      <c r="J924" s="9" t="str">
        <f t="shared" si="70"/>
        <v>2020s</v>
      </c>
      <c r="K924">
        <f t="shared" si="71"/>
        <v>2.2812913738669924E-2</v>
      </c>
      <c r="L924">
        <f t="shared" si="72"/>
        <v>0.23441108545034642</v>
      </c>
      <c r="M924">
        <f t="shared" si="73"/>
        <v>0.53191489361702127</v>
      </c>
      <c r="N924">
        <f t="shared" si="74"/>
        <v>0.26304629760201254</v>
      </c>
    </row>
    <row r="925" spans="1:14">
      <c r="A925" t="s">
        <v>31</v>
      </c>
      <c r="B925" t="s">
        <v>214</v>
      </c>
      <c r="C925">
        <v>2022</v>
      </c>
      <c r="D925">
        <v>3</v>
      </c>
      <c r="E925">
        <v>429</v>
      </c>
      <c r="F925">
        <v>384</v>
      </c>
      <c r="G925">
        <v>4.4000000000000004</v>
      </c>
      <c r="H925" s="4">
        <v>96000</v>
      </c>
      <c r="I925" s="8" t="str" cm="1">
        <f t="array" ref="I925">_xlfn.IFS(H925&lt;50000,"Under $50K", H925&lt;100000,"$50K–$100K",
     H925&lt;200000,"$100K–$200K", H925&lt;500000,"$200K–$500K",
     H925&gt;=500000,"$500K+")</f>
        <v>$50K–$100K</v>
      </c>
      <c r="J925" s="9" t="str">
        <f t="shared" si="70"/>
        <v>2020s</v>
      </c>
      <c r="K925">
        <f t="shared" si="71"/>
        <v>2.5257154496384559E-2</v>
      </c>
      <c r="L925">
        <f t="shared" si="72"/>
        <v>0.22170900692840648</v>
      </c>
      <c r="M925">
        <f t="shared" si="73"/>
        <v>0.44680851063829774</v>
      </c>
      <c r="N925">
        <f t="shared" si="74"/>
        <v>0.23125822402102958</v>
      </c>
    </row>
    <row r="926" spans="1:14">
      <c r="A926" t="s">
        <v>17</v>
      </c>
      <c r="B926" t="s">
        <v>215</v>
      </c>
      <c r="C926">
        <v>2021</v>
      </c>
      <c r="D926">
        <v>6.2</v>
      </c>
      <c r="E926">
        <v>455</v>
      </c>
      <c r="F926">
        <v>455</v>
      </c>
      <c r="G926">
        <v>4</v>
      </c>
      <c r="H926" s="4">
        <v>25000</v>
      </c>
      <c r="I926" s="8" t="str" cm="1">
        <f t="array" ref="I926">_xlfn.IFS(H926&lt;50000,"Under $50K", H926&lt;100000,"$50K–$100K",
     H926&lt;200000,"$100K–$200K", H926&lt;500000,"$200K–$500K",
     H926&gt;=500000,"$500K+")</f>
        <v>Under $50K</v>
      </c>
      <c r="J926" s="9" t="str">
        <f t="shared" si="70"/>
        <v>2020s</v>
      </c>
      <c r="K926">
        <f t="shared" si="71"/>
        <v>2.7905081983908748E-2</v>
      </c>
      <c r="L926">
        <f t="shared" si="72"/>
        <v>0.26270207852193994</v>
      </c>
      <c r="M926">
        <f t="shared" si="73"/>
        <v>0.53191489361702127</v>
      </c>
      <c r="N926">
        <f t="shared" si="74"/>
        <v>0.27417401804095665</v>
      </c>
    </row>
    <row r="927" spans="1:14">
      <c r="A927" t="s">
        <v>20</v>
      </c>
      <c r="B927" t="s">
        <v>92</v>
      </c>
      <c r="C927">
        <v>2022</v>
      </c>
      <c r="D927">
        <v>3.5</v>
      </c>
      <c r="E927">
        <v>660</v>
      </c>
      <c r="F927">
        <v>550</v>
      </c>
      <c r="G927">
        <v>2.8</v>
      </c>
      <c r="H927" s="4">
        <v>500000</v>
      </c>
      <c r="I927" s="8" t="str" cm="1">
        <f t="array" ref="I927">_xlfn.IFS(H927&lt;50000,"Under $50K", H927&lt;100000,"$50K–$100K",
     H927&lt;200000,"$100K–$200K", H927&lt;500000,"$200K–$500K",
     H927&gt;=500000,"$500K+")</f>
        <v>$500K+</v>
      </c>
      <c r="J927" s="9" t="str">
        <f t="shared" si="70"/>
        <v>2020s</v>
      </c>
      <c r="K927">
        <f t="shared" si="71"/>
        <v>4.8782971789387924E-2</v>
      </c>
      <c r="L927">
        <f t="shared" si="72"/>
        <v>0.31755196304849886</v>
      </c>
      <c r="M927">
        <f t="shared" si="73"/>
        <v>0.78723404255319152</v>
      </c>
      <c r="N927">
        <f t="shared" si="74"/>
        <v>0.38452299246369276</v>
      </c>
    </row>
    <row r="928" spans="1:14">
      <c r="A928" t="s">
        <v>32</v>
      </c>
      <c r="B928" t="s">
        <v>117</v>
      </c>
      <c r="C928">
        <v>2021</v>
      </c>
      <c r="D928">
        <v>3.7</v>
      </c>
      <c r="E928">
        <v>332</v>
      </c>
      <c r="F928">
        <v>270</v>
      </c>
      <c r="G928">
        <v>5.3</v>
      </c>
      <c r="H928" s="4">
        <v>33000</v>
      </c>
      <c r="I928" s="8" t="str" cm="1">
        <f t="array" ref="I928">_xlfn.IFS(H928&lt;50000,"Under $50K", H928&lt;100000,"$50K–$100K",
     H928&lt;200000,"$100K–$200K", H928&lt;500000,"$200K–$500K",
     H928&gt;=500000,"$500K+")</f>
        <v>Under $50K</v>
      </c>
      <c r="J928" s="9" t="str">
        <f t="shared" si="70"/>
        <v>2020s</v>
      </c>
      <c r="K928">
        <f t="shared" si="71"/>
        <v>1.5378348100621244E-2</v>
      </c>
      <c r="L928">
        <f t="shared" si="72"/>
        <v>0.15588914549653579</v>
      </c>
      <c r="M928">
        <f t="shared" si="73"/>
        <v>0.25531914893617025</v>
      </c>
      <c r="N928">
        <f t="shared" si="74"/>
        <v>0.1421955475111091</v>
      </c>
    </row>
    <row r="929" spans="1:14">
      <c r="A929" t="s">
        <v>9</v>
      </c>
      <c r="B929" t="s">
        <v>78</v>
      </c>
      <c r="C929">
        <v>2021</v>
      </c>
      <c r="D929">
        <v>2.9</v>
      </c>
      <c r="E929">
        <v>505</v>
      </c>
      <c r="F929">
        <v>443</v>
      </c>
      <c r="G929">
        <v>3.8</v>
      </c>
      <c r="H929" s="4">
        <v>75250</v>
      </c>
      <c r="I929" s="8" t="str" cm="1">
        <f t="array" ref="I929">_xlfn.IFS(H929&lt;50000,"Under $50K", H929&lt;100000,"$50K–$100K",
     H929&lt;200000,"$100K–$200K", H929&lt;500000,"$200K–$500K",
     H929&gt;=500000,"$500K+")</f>
        <v>$50K–$100K</v>
      </c>
      <c r="J929" s="9" t="str">
        <f t="shared" si="70"/>
        <v>2020s</v>
      </c>
      <c r="K929">
        <f t="shared" si="71"/>
        <v>3.2997250229147568E-2</v>
      </c>
      <c r="L929">
        <f t="shared" si="72"/>
        <v>0.25577367205542723</v>
      </c>
      <c r="M929">
        <f t="shared" si="73"/>
        <v>0.57446808510638303</v>
      </c>
      <c r="N929">
        <f t="shared" si="74"/>
        <v>0.28774633579698594</v>
      </c>
    </row>
    <row r="930" spans="1:14">
      <c r="A930" t="s">
        <v>12</v>
      </c>
      <c r="B930" t="s">
        <v>69</v>
      </c>
      <c r="C930">
        <v>2022</v>
      </c>
      <c r="D930">
        <v>4</v>
      </c>
      <c r="E930">
        <v>630</v>
      </c>
      <c r="F930">
        <v>516</v>
      </c>
      <c r="G930">
        <v>3.7</v>
      </c>
      <c r="H930" s="4">
        <v>201495</v>
      </c>
      <c r="I930" s="8" t="str" cm="1">
        <f t="array" ref="I930">_xlfn.IFS(H930&lt;50000,"Under $50K", H930&lt;100000,"$50K–$100K",
     H930&lt;200000,"$100K–$200K", H930&lt;500000,"$200K–$500K",
     H930&gt;=500000,"$500K+")</f>
        <v>$200K–$500K</v>
      </c>
      <c r="J930" s="9" t="str">
        <f t="shared" si="70"/>
        <v>2020s</v>
      </c>
      <c r="K930">
        <f t="shared" si="71"/>
        <v>4.5727670842244626E-2</v>
      </c>
      <c r="L930">
        <f t="shared" si="72"/>
        <v>0.29792147806004621</v>
      </c>
      <c r="M930">
        <f t="shared" si="73"/>
        <v>0.5957446808510638</v>
      </c>
      <c r="N930">
        <f t="shared" si="74"/>
        <v>0.31313127658445156</v>
      </c>
    </row>
    <row r="931" spans="1:14">
      <c r="A931" t="s">
        <v>14</v>
      </c>
      <c r="B931" t="s">
        <v>80</v>
      </c>
      <c r="C931">
        <v>2021</v>
      </c>
      <c r="D931">
        <v>6</v>
      </c>
      <c r="E931">
        <v>626</v>
      </c>
      <c r="F931">
        <v>664</v>
      </c>
      <c r="G931">
        <v>3.3</v>
      </c>
      <c r="H931" s="4">
        <v>201000</v>
      </c>
      <c r="I931" s="8" t="str" cm="1">
        <f t="array" ref="I931">_xlfn.IFS(H931&lt;50000,"Under $50K", H931&lt;100000,"$50K–$100K",
     H931&lt;200000,"$100K–$200K", H931&lt;500000,"$200K–$500K",
     H931&gt;=500000,"$500K+")</f>
        <v>$200K–$500K</v>
      </c>
      <c r="J931" s="9" t="str">
        <f t="shared" si="70"/>
        <v>2020s</v>
      </c>
      <c r="K931">
        <f t="shared" si="71"/>
        <v>4.5320297382625524E-2</v>
      </c>
      <c r="L931">
        <f t="shared" si="72"/>
        <v>0.38337182448036949</v>
      </c>
      <c r="M931">
        <f t="shared" si="73"/>
        <v>0.68085106382978733</v>
      </c>
      <c r="N931">
        <f t="shared" si="74"/>
        <v>0.36984772856426079</v>
      </c>
    </row>
    <row r="932" spans="1:14">
      <c r="A932" t="s">
        <v>18</v>
      </c>
      <c r="B932" t="s">
        <v>227</v>
      </c>
      <c r="C932">
        <v>2021</v>
      </c>
      <c r="D932">
        <v>6.4</v>
      </c>
      <c r="E932">
        <v>485</v>
      </c>
      <c r="F932">
        <v>475</v>
      </c>
      <c r="G932">
        <v>3.8</v>
      </c>
      <c r="H932" s="4">
        <v>62000</v>
      </c>
      <c r="I932" s="8" t="str" cm="1">
        <f t="array" ref="I932">_xlfn.IFS(H932&lt;50000,"Under $50K", H932&lt;100000,"$50K–$100K",
     H932&lt;200000,"$100K–$200K", H932&lt;500000,"$200K–$500K",
     H932&gt;=500000,"$500K+")</f>
        <v>$50K–$100K</v>
      </c>
      <c r="J932" s="9" t="str">
        <f t="shared" si="70"/>
        <v>2020s</v>
      </c>
      <c r="K932">
        <f t="shared" si="71"/>
        <v>3.0960382931052043E-2</v>
      </c>
      <c r="L932">
        <f t="shared" si="72"/>
        <v>0.27424942263279445</v>
      </c>
      <c r="M932">
        <f t="shared" si="73"/>
        <v>0.57446808510638303</v>
      </c>
      <c r="N932">
        <f t="shared" si="74"/>
        <v>0.29322596355674319</v>
      </c>
    </row>
    <row r="933" spans="1:14">
      <c r="A933" t="s">
        <v>21</v>
      </c>
      <c r="B933" t="s">
        <v>160</v>
      </c>
      <c r="C933">
        <v>2022</v>
      </c>
      <c r="D933">
        <v>5</v>
      </c>
      <c r="E933">
        <v>575</v>
      </c>
      <c r="F933">
        <v>516</v>
      </c>
      <c r="G933">
        <v>3.5</v>
      </c>
      <c r="H933" s="4">
        <v>103200</v>
      </c>
      <c r="I933" s="8" t="str" cm="1">
        <f t="array" ref="I933">_xlfn.IFS(H933&lt;50000,"Under $50K", H933&lt;100000,"$50K–$100K",
     H933&lt;200000,"$100K–$200K", H933&lt;500000,"$200K–$500K",
     H933&gt;=500000,"$500K+")</f>
        <v>$100K–$200K</v>
      </c>
      <c r="J933" s="9" t="str">
        <f t="shared" si="70"/>
        <v>2020s</v>
      </c>
      <c r="K933">
        <f t="shared" si="71"/>
        <v>4.0126285772481923E-2</v>
      </c>
      <c r="L933">
        <f t="shared" si="72"/>
        <v>0.29792147806004621</v>
      </c>
      <c r="M933">
        <f t="shared" si="73"/>
        <v>0.63829787234042556</v>
      </c>
      <c r="N933">
        <f t="shared" si="74"/>
        <v>0.32544854539098456</v>
      </c>
    </row>
    <row r="934" spans="1:14">
      <c r="A934" t="s">
        <v>25</v>
      </c>
      <c r="B934" t="s">
        <v>74</v>
      </c>
      <c r="C934">
        <v>2022</v>
      </c>
      <c r="D934">
        <v>5</v>
      </c>
      <c r="E934">
        <v>471</v>
      </c>
      <c r="F934">
        <v>398</v>
      </c>
      <c r="G934">
        <v>4.4000000000000004</v>
      </c>
      <c r="H934" s="4">
        <v>92950</v>
      </c>
      <c r="I934" s="8" t="str" cm="1">
        <f t="array" ref="I934">_xlfn.IFS(H934&lt;50000,"Under $50K", H934&lt;100000,"$50K–$100K",
     H934&lt;200000,"$100K–$200K", H934&lt;500000,"$200K–$500K",
     H934&gt;=500000,"$500K+")</f>
        <v>$50K–$100K</v>
      </c>
      <c r="J934" s="9" t="str">
        <f t="shared" si="70"/>
        <v>2020s</v>
      </c>
      <c r="K934">
        <f t="shared" si="71"/>
        <v>2.9534575822385171E-2</v>
      </c>
      <c r="L934">
        <f t="shared" si="72"/>
        <v>0.22979214780600463</v>
      </c>
      <c r="M934">
        <f t="shared" si="73"/>
        <v>0.44680851063829774</v>
      </c>
      <c r="N934">
        <f t="shared" si="74"/>
        <v>0.23537841142222918</v>
      </c>
    </row>
    <row r="935" spans="1:14">
      <c r="A935" t="s">
        <v>26</v>
      </c>
      <c r="B935" t="s">
        <v>75</v>
      </c>
      <c r="C935">
        <v>2021</v>
      </c>
      <c r="D935">
        <v>3.5</v>
      </c>
      <c r="E935">
        <v>416</v>
      </c>
      <c r="F935">
        <v>317</v>
      </c>
      <c r="G935">
        <v>3.8</v>
      </c>
      <c r="H935" s="4">
        <v>99000</v>
      </c>
      <c r="I935" s="8" t="str" cm="1">
        <f t="array" ref="I935">_xlfn.IFS(H935&lt;50000,"Under $50K", H935&lt;100000,"$50K–$100K",
     H935&lt;200000,"$100K–$200K", H935&lt;500000,"$200K–$500K",
     H935&gt;=500000,"$500K+")</f>
        <v>$50K–$100K</v>
      </c>
      <c r="J935" s="9" t="str">
        <f t="shared" si="70"/>
        <v>2020s</v>
      </c>
      <c r="K935">
        <f t="shared" si="71"/>
        <v>2.3933190752622468E-2</v>
      </c>
      <c r="L935">
        <f t="shared" si="72"/>
        <v>0.18302540415704388</v>
      </c>
      <c r="M935">
        <f t="shared" si="73"/>
        <v>0.57446808510638303</v>
      </c>
      <c r="N935">
        <f t="shared" si="74"/>
        <v>0.26047556000534983</v>
      </c>
    </row>
    <row r="936" spans="1:14">
      <c r="A936" t="s">
        <v>27</v>
      </c>
      <c r="B936" t="s">
        <v>76</v>
      </c>
      <c r="C936">
        <v>2021</v>
      </c>
      <c r="D936">
        <v>4.7</v>
      </c>
      <c r="E936">
        <v>454</v>
      </c>
      <c r="F936">
        <v>384</v>
      </c>
      <c r="G936">
        <v>4.7</v>
      </c>
      <c r="H936" s="4">
        <v>150000</v>
      </c>
      <c r="I936" s="8" t="str" cm="1">
        <f t="array" ref="I936">_xlfn.IFS(H936&lt;50000,"Under $50K", H936&lt;100000,"$50K–$100K",
     H936&lt;200000,"$100K–$200K", H936&lt;500000,"$200K–$500K",
     H936&gt;=500000,"$500K+")</f>
        <v>$100K–$200K</v>
      </c>
      <c r="J936" s="9" t="str">
        <f t="shared" si="70"/>
        <v>2020s</v>
      </c>
      <c r="K936">
        <f t="shared" si="71"/>
        <v>2.7803238619003971E-2</v>
      </c>
      <c r="L936">
        <f t="shared" si="72"/>
        <v>0.22170900692840648</v>
      </c>
      <c r="M936">
        <f t="shared" si="73"/>
        <v>0.38297872340425532</v>
      </c>
      <c r="N936">
        <f t="shared" si="74"/>
        <v>0.2108303229838886</v>
      </c>
    </row>
    <row r="937" spans="1:14">
      <c r="A937" t="s">
        <v>36</v>
      </c>
      <c r="B937" t="s">
        <v>86</v>
      </c>
      <c r="C937">
        <v>2021</v>
      </c>
      <c r="D937">
        <v>4</v>
      </c>
      <c r="E937">
        <v>414</v>
      </c>
      <c r="F937">
        <v>309</v>
      </c>
      <c r="G937">
        <v>4.2</v>
      </c>
      <c r="H937" s="4">
        <v>102500</v>
      </c>
      <c r="I937" s="8" t="str" cm="1">
        <f t="array" ref="I937">_xlfn.IFS(H937&lt;50000,"Under $50K", H937&lt;100000,"$50K–$100K",
     H937&lt;200000,"$100K–$200K", H937&lt;500000,"$200K–$500K",
     H937&gt;=500000,"$500K+")</f>
        <v>$100K–$200K</v>
      </c>
      <c r="J937" s="9" t="str">
        <f t="shared" si="70"/>
        <v>2020s</v>
      </c>
      <c r="K937">
        <f t="shared" si="71"/>
        <v>2.3729504022812913E-2</v>
      </c>
      <c r="L937">
        <f t="shared" si="72"/>
        <v>0.17840646651270209</v>
      </c>
      <c r="M937">
        <f t="shared" si="73"/>
        <v>0.4893617021276595</v>
      </c>
      <c r="N937">
        <f t="shared" si="74"/>
        <v>0.23049922422105817</v>
      </c>
    </row>
    <row r="938" spans="1:14">
      <c r="A938" t="s">
        <v>12</v>
      </c>
      <c r="B938" t="s">
        <v>107</v>
      </c>
      <c r="C938">
        <v>2022</v>
      </c>
      <c r="D938">
        <v>4</v>
      </c>
      <c r="E938">
        <v>503</v>
      </c>
      <c r="F938">
        <v>505</v>
      </c>
      <c r="G938">
        <v>3.5</v>
      </c>
      <c r="H938" s="4">
        <v>149995</v>
      </c>
      <c r="I938" s="8" t="str" cm="1">
        <f t="array" ref="I938">_xlfn.IFS(H938&lt;50000,"Under $50K", H938&lt;100000,"$50K–$100K",
     H938&lt;200000,"$100K–$200K", H938&lt;500000,"$200K–$500K",
     H938&gt;=500000,"$500K+")</f>
        <v>$100K–$200K</v>
      </c>
      <c r="J938" s="9" t="str">
        <f t="shared" si="70"/>
        <v>2020s</v>
      </c>
      <c r="K938">
        <f t="shared" si="71"/>
        <v>3.279356349933802E-2</v>
      </c>
      <c r="L938">
        <f t="shared" si="72"/>
        <v>0.29157043879907624</v>
      </c>
      <c r="M938">
        <f t="shared" si="73"/>
        <v>0.63829787234042556</v>
      </c>
      <c r="N938">
        <f t="shared" si="74"/>
        <v>0.32088729154627993</v>
      </c>
    </row>
    <row r="939" spans="1:14">
      <c r="A939" t="s">
        <v>18</v>
      </c>
      <c r="B939" t="s">
        <v>162</v>
      </c>
      <c r="C939">
        <v>2022</v>
      </c>
      <c r="D939">
        <v>6.2</v>
      </c>
      <c r="E939">
        <v>717</v>
      </c>
      <c r="F939">
        <v>650</v>
      </c>
      <c r="G939">
        <v>3.5</v>
      </c>
      <c r="H939" s="4">
        <v>78595</v>
      </c>
      <c r="I939" s="8" t="str" cm="1">
        <f t="array" ref="I939">_xlfn.IFS(H939&lt;50000,"Under $50K", H939&lt;100000,"$50K–$100K",
     H939&lt;200000,"$100K–$200K", H939&lt;500000,"$200K–$500K",
     H939&gt;=500000,"$500K+")</f>
        <v>$50K–$100K</v>
      </c>
      <c r="J939" s="9" t="str">
        <f t="shared" si="70"/>
        <v>2020s</v>
      </c>
      <c r="K939">
        <f t="shared" si="71"/>
        <v>5.4588043588960182E-2</v>
      </c>
      <c r="L939">
        <f t="shared" si="72"/>
        <v>0.37528868360277134</v>
      </c>
      <c r="M939">
        <f t="shared" si="73"/>
        <v>0.63829787234042556</v>
      </c>
      <c r="N939">
        <f t="shared" si="74"/>
        <v>0.3560581998440524</v>
      </c>
    </row>
    <row r="940" spans="1:14">
      <c r="A940" t="s">
        <v>13</v>
      </c>
      <c r="B940" t="s">
        <v>152</v>
      </c>
      <c r="C940">
        <v>2021</v>
      </c>
      <c r="D940">
        <v>4</v>
      </c>
      <c r="E940">
        <v>591</v>
      </c>
      <c r="F940">
        <v>590</v>
      </c>
      <c r="G940">
        <v>3.5</v>
      </c>
      <c r="H940" s="4">
        <v>114000</v>
      </c>
      <c r="I940" s="8" t="str" cm="1">
        <f t="array" ref="I940">_xlfn.IFS(H940&lt;50000,"Under $50K", H940&lt;100000,"$50K–$100K",
     H940&lt;200000,"$100K–$200K", H940&lt;500000,"$200K–$500K",
     H940&gt;=500000,"$500K+")</f>
        <v>$100K–$200K</v>
      </c>
      <c r="J940" s="9" t="str">
        <f t="shared" si="70"/>
        <v>2020s</v>
      </c>
      <c r="K940">
        <f t="shared" si="71"/>
        <v>4.1755779610958346E-2</v>
      </c>
      <c r="L940">
        <f t="shared" si="72"/>
        <v>0.34064665127020788</v>
      </c>
      <c r="M940">
        <f t="shared" si="73"/>
        <v>0.63829787234042556</v>
      </c>
      <c r="N940">
        <f t="shared" si="74"/>
        <v>0.34023343440719728</v>
      </c>
    </row>
    <row r="941" spans="1:14">
      <c r="A941" t="s">
        <v>17</v>
      </c>
      <c r="B941" t="s">
        <v>105</v>
      </c>
      <c r="C941">
        <v>2022</v>
      </c>
      <c r="D941">
        <v>6.2</v>
      </c>
      <c r="E941">
        <v>455</v>
      </c>
      <c r="F941">
        <v>455</v>
      </c>
      <c r="G941">
        <v>4.0999999999999996</v>
      </c>
      <c r="H941" s="4">
        <v>37500</v>
      </c>
      <c r="I941" s="8" t="str" cm="1">
        <f t="array" ref="I941">_xlfn.IFS(H941&lt;50000,"Under $50K", H941&lt;100000,"$50K–$100K",
     H941&lt;200000,"$100K–$200K", H941&lt;500000,"$200K–$500K",
     H941&gt;=500000,"$500K+")</f>
        <v>Under $50K</v>
      </c>
      <c r="J941" s="9" t="str">
        <f t="shared" si="70"/>
        <v>2020s</v>
      </c>
      <c r="K941">
        <f t="shared" si="71"/>
        <v>2.7905081983908748E-2</v>
      </c>
      <c r="L941">
        <f t="shared" si="72"/>
        <v>0.26270207852193994</v>
      </c>
      <c r="M941">
        <f t="shared" si="73"/>
        <v>0.5106382978723405</v>
      </c>
      <c r="N941">
        <f t="shared" si="74"/>
        <v>0.26708181945939641</v>
      </c>
    </row>
    <row r="942" spans="1:14">
      <c r="A942" t="s">
        <v>20</v>
      </c>
      <c r="B942" t="s">
        <v>106</v>
      </c>
      <c r="C942">
        <v>2022</v>
      </c>
      <c r="D942">
        <v>5</v>
      </c>
      <c r="E942">
        <v>460</v>
      </c>
      <c r="F942">
        <v>420</v>
      </c>
      <c r="G942">
        <v>4</v>
      </c>
      <c r="H942" s="4">
        <v>38500</v>
      </c>
      <c r="I942" s="8" t="str" cm="1">
        <f t="array" ref="I942">_xlfn.IFS(H942&lt;50000,"Under $50K", H942&lt;100000,"$50K–$100K",
     H942&lt;200000,"$100K–$200K", H942&lt;500000,"$200K–$500K",
     H942&gt;=500000,"$500K+")</f>
        <v>Under $50K</v>
      </c>
      <c r="J942" s="9" t="str">
        <f t="shared" si="70"/>
        <v>2020s</v>
      </c>
      <c r="K942">
        <f t="shared" si="71"/>
        <v>2.8414298808432631E-2</v>
      </c>
      <c r="L942">
        <f t="shared" si="72"/>
        <v>0.24249422632794457</v>
      </c>
      <c r="M942">
        <f t="shared" si="73"/>
        <v>0.53191489361702127</v>
      </c>
      <c r="N942">
        <f t="shared" si="74"/>
        <v>0.26760780625113284</v>
      </c>
    </row>
    <row r="943" spans="1:14">
      <c r="A943" t="s">
        <v>21</v>
      </c>
      <c r="B943" t="s">
        <v>160</v>
      </c>
      <c r="C943">
        <v>2022</v>
      </c>
      <c r="D943">
        <v>5</v>
      </c>
      <c r="E943">
        <v>575</v>
      </c>
      <c r="F943">
        <v>516</v>
      </c>
      <c r="G943">
        <v>3.5</v>
      </c>
      <c r="H943" s="4">
        <v>103200</v>
      </c>
      <c r="I943" s="8" t="str" cm="1">
        <f t="array" ref="I943">_xlfn.IFS(H943&lt;50000,"Under $50K", H943&lt;100000,"$50K–$100K",
     H943&lt;200000,"$100K–$200K", H943&lt;500000,"$200K–$500K",
     H943&gt;=500000,"$500K+")</f>
        <v>$100K–$200K</v>
      </c>
      <c r="J943" s="9" t="str">
        <f t="shared" si="70"/>
        <v>2020s</v>
      </c>
      <c r="K943">
        <f t="shared" si="71"/>
        <v>4.0126285772481923E-2</v>
      </c>
      <c r="L943">
        <f t="shared" si="72"/>
        <v>0.29792147806004621</v>
      </c>
      <c r="M943">
        <f t="shared" si="73"/>
        <v>0.63829787234042556</v>
      </c>
      <c r="N943">
        <f t="shared" si="74"/>
        <v>0.32544854539098456</v>
      </c>
    </row>
    <row r="944" spans="1:14">
      <c r="A944" t="s">
        <v>25</v>
      </c>
      <c r="B944" t="s">
        <v>74</v>
      </c>
      <c r="C944">
        <v>2022</v>
      </c>
      <c r="D944">
        <v>5</v>
      </c>
      <c r="E944">
        <v>471</v>
      </c>
      <c r="F944">
        <v>398</v>
      </c>
      <c r="G944">
        <v>4.4000000000000004</v>
      </c>
      <c r="H944" s="4">
        <v>92950</v>
      </c>
      <c r="I944" s="8" t="str" cm="1">
        <f t="array" ref="I944">_xlfn.IFS(H944&lt;50000,"Under $50K", H944&lt;100000,"$50K–$100K",
     H944&lt;200000,"$100K–$200K", H944&lt;500000,"$200K–$500K",
     H944&gt;=500000,"$500K+")</f>
        <v>$50K–$100K</v>
      </c>
      <c r="J944" s="9" t="str">
        <f t="shared" si="70"/>
        <v>2020s</v>
      </c>
      <c r="K944">
        <f t="shared" si="71"/>
        <v>2.9534575822385171E-2</v>
      </c>
      <c r="L944">
        <f t="shared" si="72"/>
        <v>0.22979214780600463</v>
      </c>
      <c r="M944">
        <f t="shared" si="73"/>
        <v>0.44680851063829774</v>
      </c>
      <c r="N944">
        <f t="shared" si="74"/>
        <v>0.23537841142222918</v>
      </c>
    </row>
    <row r="945" spans="1:14">
      <c r="A945" t="s">
        <v>29</v>
      </c>
      <c r="B945" t="s">
        <v>103</v>
      </c>
      <c r="C945">
        <v>2021</v>
      </c>
      <c r="D945">
        <v>3.8</v>
      </c>
      <c r="E945">
        <v>562</v>
      </c>
      <c r="F945">
        <v>443</v>
      </c>
      <c r="G945">
        <v>3.1</v>
      </c>
      <c r="H945" s="4">
        <v>208800</v>
      </c>
      <c r="I945" s="8" t="str" cm="1">
        <f t="array" ref="I945">_xlfn.IFS(H945&lt;50000,"Under $50K", H945&lt;100000,"$50K–$100K",
     H945&lt;200000,"$100K–$200K", H945&lt;500000,"$200K–$500K",
     H945&gt;=500000,"$500K+")</f>
        <v>$200K–$500K</v>
      </c>
      <c r="J945" s="9" t="str">
        <f t="shared" si="70"/>
        <v>2020s</v>
      </c>
      <c r="K945">
        <f t="shared" si="71"/>
        <v>3.8802322028719832E-2</v>
      </c>
      <c r="L945">
        <f t="shared" si="72"/>
        <v>0.25577367205542723</v>
      </c>
      <c r="M945">
        <f t="shared" si="73"/>
        <v>0.72340425531914887</v>
      </c>
      <c r="N945">
        <f t="shared" si="74"/>
        <v>0.33932674980109861</v>
      </c>
    </row>
    <row r="946" spans="1:14">
      <c r="A946" t="s">
        <v>31</v>
      </c>
      <c r="B946" t="s">
        <v>104</v>
      </c>
      <c r="C946">
        <v>2022</v>
      </c>
      <c r="D946">
        <v>4</v>
      </c>
      <c r="E946">
        <v>469</v>
      </c>
      <c r="F946">
        <v>479</v>
      </c>
      <c r="G946">
        <v>3.8</v>
      </c>
      <c r="H946" s="4">
        <v>71450</v>
      </c>
      <c r="I946" s="8" t="str" cm="1">
        <f t="array" ref="I946">_xlfn.IFS(H946&lt;50000,"Under $50K", H946&lt;100000,"$50K–$100K",
     H946&lt;200000,"$100K–$200K", H946&lt;500000,"$200K–$500K",
     H946&gt;=500000,"$500K+")</f>
        <v>$50K–$100K</v>
      </c>
      <c r="J946" s="9" t="str">
        <f t="shared" si="70"/>
        <v>2020s</v>
      </c>
      <c r="K946">
        <f t="shared" si="71"/>
        <v>2.933088909257562E-2</v>
      </c>
      <c r="L946">
        <f t="shared" si="72"/>
        <v>0.27655889145496537</v>
      </c>
      <c r="M946">
        <f t="shared" si="73"/>
        <v>0.57446808510638303</v>
      </c>
      <c r="N946">
        <f t="shared" si="74"/>
        <v>0.29345262188464133</v>
      </c>
    </row>
    <row r="947" spans="1:14">
      <c r="A947" t="s">
        <v>32</v>
      </c>
      <c r="B947" t="s">
        <v>93</v>
      </c>
      <c r="C947">
        <v>2021</v>
      </c>
      <c r="D947">
        <v>3.7</v>
      </c>
      <c r="E947">
        <v>350</v>
      </c>
      <c r="F947">
        <v>276</v>
      </c>
      <c r="G947">
        <v>4.9000000000000004</v>
      </c>
      <c r="H947" s="4">
        <v>47820</v>
      </c>
      <c r="I947" s="8" t="str" cm="1">
        <f t="array" ref="I947">_xlfn.IFS(H947&lt;50000,"Under $50K", H947&lt;100000,"$50K–$100K",
     H947&lt;200000,"$100K–$200K", H947&lt;500000,"$200K–$500K",
     H947&gt;=500000,"$500K+")</f>
        <v>Under $50K</v>
      </c>
      <c r="J947" s="9" t="str">
        <f t="shared" si="70"/>
        <v>2020s</v>
      </c>
      <c r="K947">
        <f t="shared" si="71"/>
        <v>1.7211528668907222E-2</v>
      </c>
      <c r="L947">
        <f t="shared" si="72"/>
        <v>0.15935334872979215</v>
      </c>
      <c r="M947">
        <f t="shared" si="73"/>
        <v>0.34042553191489355</v>
      </c>
      <c r="N947">
        <f t="shared" si="74"/>
        <v>0.1723301364378643</v>
      </c>
    </row>
    <row r="948" spans="1:14">
      <c r="A948" t="s">
        <v>36</v>
      </c>
      <c r="B948" t="s">
        <v>246</v>
      </c>
      <c r="C948">
        <v>2021</v>
      </c>
      <c r="D948">
        <v>4</v>
      </c>
      <c r="E948">
        <v>473</v>
      </c>
      <c r="F948">
        <v>457</v>
      </c>
      <c r="G948">
        <v>3.9</v>
      </c>
      <c r="H948" s="4">
        <v>134150</v>
      </c>
      <c r="I948" s="8" t="str" cm="1">
        <f t="array" ref="I948">_xlfn.IFS(H948&lt;50000,"Under $50K", H948&lt;100000,"$50K–$100K",
     H948&lt;200000,"$100K–$200K", H948&lt;500000,"$200K–$500K",
     H948&gt;=500000,"$500K+")</f>
        <v>$100K–$200K</v>
      </c>
      <c r="J948" s="9" t="str">
        <f t="shared" si="70"/>
        <v>2020s</v>
      </c>
      <c r="K948">
        <f t="shared" si="71"/>
        <v>2.9738262552194725E-2</v>
      </c>
      <c r="L948">
        <f t="shared" si="72"/>
        <v>0.26385681293302543</v>
      </c>
      <c r="M948">
        <f t="shared" si="73"/>
        <v>0.55319148936170226</v>
      </c>
      <c r="N948">
        <f t="shared" si="74"/>
        <v>0.28226218828230748</v>
      </c>
    </row>
    <row r="949" spans="1:14">
      <c r="A949" t="s">
        <v>13</v>
      </c>
      <c r="B949" t="s">
        <v>118</v>
      </c>
      <c r="C949">
        <v>2022</v>
      </c>
      <c r="D949">
        <v>2.5</v>
      </c>
      <c r="E949">
        <v>394</v>
      </c>
      <c r="F949">
        <v>354</v>
      </c>
      <c r="G949">
        <v>3.6</v>
      </c>
      <c r="H949" s="4">
        <v>67600</v>
      </c>
      <c r="I949" s="8" t="str" cm="1">
        <f t="array" ref="I949">_xlfn.IFS(H949&lt;50000,"Under $50K", H949&lt;100000,"$50K–$100K",
     H949&lt;200000,"$100K–$200K", H949&lt;500000,"$200K–$500K",
     H949&gt;=500000,"$500K+")</f>
        <v>$50K–$100K</v>
      </c>
      <c r="J949" s="9" t="str">
        <f t="shared" si="70"/>
        <v>2020s</v>
      </c>
      <c r="K949">
        <f t="shared" si="71"/>
        <v>2.1692636724717385E-2</v>
      </c>
      <c r="L949">
        <f t="shared" si="72"/>
        <v>0.20438799076212472</v>
      </c>
      <c r="M949">
        <f t="shared" si="73"/>
        <v>0.61702127659574468</v>
      </c>
      <c r="N949">
        <f t="shared" si="74"/>
        <v>0.28103396802752895</v>
      </c>
    </row>
    <row r="950" spans="1:14">
      <c r="A950" t="s">
        <v>15</v>
      </c>
      <c r="B950" t="s">
        <v>90</v>
      </c>
      <c r="C950">
        <v>2021</v>
      </c>
      <c r="D950">
        <v>3</v>
      </c>
      <c r="E950">
        <v>473</v>
      </c>
      <c r="F950">
        <v>406</v>
      </c>
      <c r="G950">
        <v>3.8</v>
      </c>
      <c r="H950" s="4">
        <v>71800</v>
      </c>
      <c r="I950" s="8" t="str" cm="1">
        <f t="array" ref="I950">_xlfn.IFS(H950&lt;50000,"Under $50K", H950&lt;100000,"$50K–$100K",
     H950&lt;200000,"$100K–$200K", H950&lt;500000,"$200K–$500K",
     H950&gt;=500000,"$500K+")</f>
        <v>$50K–$100K</v>
      </c>
      <c r="J950" s="9" t="str">
        <f t="shared" si="70"/>
        <v>2020s</v>
      </c>
      <c r="K950">
        <f t="shared" si="71"/>
        <v>2.9738262552194725E-2</v>
      </c>
      <c r="L950">
        <f t="shared" si="72"/>
        <v>0.23441108545034642</v>
      </c>
      <c r="M950">
        <f t="shared" si="73"/>
        <v>0.57446808510638303</v>
      </c>
      <c r="N950">
        <f t="shared" si="74"/>
        <v>0.27953914436964139</v>
      </c>
    </row>
    <row r="951" spans="1:14">
      <c r="A951" t="s">
        <v>19</v>
      </c>
      <c r="B951" t="s">
        <v>120</v>
      </c>
      <c r="C951">
        <v>2021</v>
      </c>
      <c r="D951">
        <v>3.9</v>
      </c>
      <c r="E951">
        <v>710</v>
      </c>
      <c r="F951">
        <v>568</v>
      </c>
      <c r="G951">
        <v>2.8</v>
      </c>
      <c r="H951" s="4">
        <v>274280</v>
      </c>
      <c r="I951" s="8" t="str" cm="1">
        <f t="array" ref="I951">_xlfn.IFS(H951&lt;50000,"Under $50K", H951&lt;100000,"$50K–$100K",
     H951&lt;200000,"$100K–$200K", H951&lt;500000,"$200K–$500K",
     H951&gt;=500000,"$500K+")</f>
        <v>$200K–$500K</v>
      </c>
      <c r="J951" s="9" t="str">
        <f t="shared" si="70"/>
        <v>2020s</v>
      </c>
      <c r="K951">
        <f t="shared" si="71"/>
        <v>5.3875140034626741E-2</v>
      </c>
      <c r="L951">
        <f t="shared" si="72"/>
        <v>0.32794457274826788</v>
      </c>
      <c r="M951">
        <f t="shared" si="73"/>
        <v>0.78723404255319152</v>
      </c>
      <c r="N951">
        <f t="shared" si="74"/>
        <v>0.38968458511202869</v>
      </c>
    </row>
    <row r="952" spans="1:14">
      <c r="A952" t="s">
        <v>24</v>
      </c>
      <c r="B952" t="s">
        <v>115</v>
      </c>
      <c r="C952">
        <v>2021</v>
      </c>
      <c r="D952">
        <v>6.5</v>
      </c>
      <c r="E952">
        <v>770</v>
      </c>
      <c r="F952">
        <v>531</v>
      </c>
      <c r="G952">
        <v>2.9</v>
      </c>
      <c r="H952" s="4">
        <v>393695</v>
      </c>
      <c r="I952" s="8" t="str" cm="1">
        <f t="array" ref="I952">_xlfn.IFS(H952&lt;50000,"Under $50K", H952&lt;100000,"$50K–$100K",
     H952&lt;200000,"$100K–$200K", H952&lt;500000,"$200K–$500K",
     H952&gt;=500000,"$500K+")</f>
        <v>$200K–$500K</v>
      </c>
      <c r="J952" s="9" t="str">
        <f t="shared" si="70"/>
        <v>2020s</v>
      </c>
      <c r="K952">
        <f t="shared" si="71"/>
        <v>5.998574192891333E-2</v>
      </c>
      <c r="L952">
        <f t="shared" si="72"/>
        <v>0.30658198614318705</v>
      </c>
      <c r="M952">
        <f t="shared" si="73"/>
        <v>0.76595744680851063</v>
      </c>
      <c r="N952">
        <f t="shared" si="74"/>
        <v>0.37750839162687039</v>
      </c>
    </row>
    <row r="953" spans="1:14">
      <c r="A953" t="s">
        <v>29</v>
      </c>
      <c r="B953" t="s">
        <v>92</v>
      </c>
      <c r="C953">
        <v>2021</v>
      </c>
      <c r="D953">
        <v>4</v>
      </c>
      <c r="E953">
        <v>612</v>
      </c>
      <c r="F953">
        <v>465</v>
      </c>
      <c r="G953">
        <v>3.1</v>
      </c>
      <c r="H953" s="4">
        <v>250000</v>
      </c>
      <c r="I953" s="8" t="str" cm="1">
        <f t="array" ref="I953">_xlfn.IFS(H953&lt;50000,"Under $50K", H953&lt;100000,"$50K–$100K",
     H953&lt;200000,"$100K–$200K", H953&lt;500000,"$200K–$500K",
     H953&gt;=500000,"$500K+")</f>
        <v>$200K–$500K</v>
      </c>
      <c r="J953" s="9" t="str">
        <f t="shared" si="70"/>
        <v>2020s</v>
      </c>
      <c r="K953">
        <f t="shared" si="71"/>
        <v>4.3894490273958649E-2</v>
      </c>
      <c r="L953">
        <f t="shared" si="72"/>
        <v>0.26847575057736722</v>
      </c>
      <c r="M953">
        <f t="shared" si="73"/>
        <v>0.72340425531914887</v>
      </c>
      <c r="N953">
        <f t="shared" si="74"/>
        <v>0.34525816539015824</v>
      </c>
    </row>
    <row r="954" spans="1:14">
      <c r="A954" t="s">
        <v>31</v>
      </c>
      <c r="B954" t="s">
        <v>247</v>
      </c>
      <c r="C954">
        <v>2021</v>
      </c>
      <c r="D954">
        <v>4</v>
      </c>
      <c r="E954">
        <v>630</v>
      </c>
      <c r="F954">
        <v>664</v>
      </c>
      <c r="G954">
        <v>3.1</v>
      </c>
      <c r="H954" s="4">
        <v>171200</v>
      </c>
      <c r="I954" s="8" t="str" cm="1">
        <f t="array" ref="I954">_xlfn.IFS(H954&lt;50000,"Under $50K", H954&lt;100000,"$50K–$100K",
     H954&lt;200000,"$100K–$200K", H954&lt;500000,"$200K–$500K",
     H954&gt;=500000,"$500K+")</f>
        <v>$100K–$200K</v>
      </c>
      <c r="J954" s="9" t="str">
        <f t="shared" si="70"/>
        <v>2020s</v>
      </c>
      <c r="K954">
        <f t="shared" si="71"/>
        <v>4.5727670842244626E-2</v>
      </c>
      <c r="L954">
        <f t="shared" si="72"/>
        <v>0.38337182448036949</v>
      </c>
      <c r="M954">
        <f t="shared" si="73"/>
        <v>0.72340425531914887</v>
      </c>
      <c r="N954">
        <f t="shared" si="74"/>
        <v>0.38416791688058766</v>
      </c>
    </row>
    <row r="955" spans="1:14">
      <c r="A955" t="s">
        <v>12</v>
      </c>
      <c r="B955" t="s">
        <v>132</v>
      </c>
      <c r="C955">
        <v>2022</v>
      </c>
      <c r="D955">
        <v>5.2</v>
      </c>
      <c r="E955">
        <v>715</v>
      </c>
      <c r="F955">
        <v>663</v>
      </c>
      <c r="G955">
        <v>3.4</v>
      </c>
      <c r="H955" s="4">
        <v>321000</v>
      </c>
      <c r="I955" s="8" t="str" cm="1">
        <f t="array" ref="I955">_xlfn.IFS(H955&lt;50000,"Under $50K", H955&lt;100000,"$50K–$100K",
     H955&lt;200000,"$100K–$200K", H955&lt;500000,"$200K–$500K",
     H955&gt;=500000,"$500K+")</f>
        <v>$200K–$500K</v>
      </c>
      <c r="J955" s="9" t="str">
        <f t="shared" si="70"/>
        <v>2020s</v>
      </c>
      <c r="K955">
        <f t="shared" si="71"/>
        <v>5.4384356859150627E-2</v>
      </c>
      <c r="L955">
        <f t="shared" si="72"/>
        <v>0.3827944572748268</v>
      </c>
      <c r="M955">
        <f t="shared" si="73"/>
        <v>0.65957446808510645</v>
      </c>
      <c r="N955">
        <f t="shared" si="74"/>
        <v>0.36558442740636127</v>
      </c>
    </row>
    <row r="956" spans="1:14">
      <c r="A956" t="s">
        <v>26</v>
      </c>
      <c r="B956" t="s">
        <v>75</v>
      </c>
      <c r="C956">
        <v>2021</v>
      </c>
      <c r="D956">
        <v>3.5</v>
      </c>
      <c r="E956">
        <v>416</v>
      </c>
      <c r="F956">
        <v>317</v>
      </c>
      <c r="G956">
        <v>3.8</v>
      </c>
      <c r="H956" s="4">
        <v>100500</v>
      </c>
      <c r="I956" s="8" t="str" cm="1">
        <f t="array" ref="I956">_xlfn.IFS(H956&lt;50000,"Under $50K", H956&lt;100000,"$50K–$100K",
     H956&lt;200000,"$100K–$200K", H956&lt;500000,"$200K–$500K",
     H956&gt;=500000,"$500K+")</f>
        <v>$100K–$200K</v>
      </c>
      <c r="J956" s="9" t="str">
        <f t="shared" si="70"/>
        <v>2020s</v>
      </c>
      <c r="K956">
        <f t="shared" si="71"/>
        <v>2.3933190752622468E-2</v>
      </c>
      <c r="L956">
        <f t="shared" si="72"/>
        <v>0.18302540415704388</v>
      </c>
      <c r="M956">
        <f t="shared" si="73"/>
        <v>0.57446808510638303</v>
      </c>
      <c r="N956">
        <f t="shared" si="74"/>
        <v>0.26047556000534983</v>
      </c>
    </row>
    <row r="957" spans="1:14">
      <c r="A957" t="s">
        <v>36</v>
      </c>
      <c r="B957" t="s">
        <v>156</v>
      </c>
      <c r="C957">
        <v>2021</v>
      </c>
      <c r="D957" t="s">
        <v>85</v>
      </c>
      <c r="E957">
        <v>750</v>
      </c>
      <c r="F957">
        <v>774</v>
      </c>
      <c r="G957">
        <v>2.6</v>
      </c>
      <c r="H957" s="4">
        <v>185000</v>
      </c>
      <c r="I957" s="8" t="str" cm="1">
        <f t="array" ref="I957">_xlfn.IFS(H957&lt;50000,"Under $50K", H957&lt;100000,"$50K–$100K",
     H957&lt;200000,"$100K–$200K", H957&lt;500000,"$200K–$500K",
     H957&gt;=500000,"$500K+")</f>
        <v>$100K–$200K</v>
      </c>
      <c r="J957" s="9" t="str">
        <f t="shared" si="70"/>
        <v>2020s</v>
      </c>
      <c r="K957">
        <f t="shared" si="71"/>
        <v>5.7948874630817805E-2</v>
      </c>
      <c r="L957">
        <f t="shared" si="72"/>
        <v>0.44688221709006931</v>
      </c>
      <c r="M957">
        <f t="shared" si="73"/>
        <v>0.82978723404255317</v>
      </c>
      <c r="N957">
        <f t="shared" si="74"/>
        <v>0.4448727752544801</v>
      </c>
    </row>
    <row r="958" spans="1:14">
      <c r="A958" t="s">
        <v>29</v>
      </c>
      <c r="B958" t="s">
        <v>103</v>
      </c>
      <c r="C958">
        <v>2021</v>
      </c>
      <c r="D958">
        <v>3.8</v>
      </c>
      <c r="E958">
        <v>562</v>
      </c>
      <c r="F958">
        <v>443</v>
      </c>
      <c r="G958">
        <v>3.1</v>
      </c>
      <c r="H958" s="4">
        <v>195000</v>
      </c>
      <c r="I958" s="8" t="str" cm="1">
        <f t="array" ref="I958">_xlfn.IFS(H958&lt;50000,"Under $50K", H958&lt;100000,"$50K–$100K",
     H958&lt;200000,"$100K–$200K", H958&lt;500000,"$200K–$500K",
     H958&gt;=500000,"$500K+")</f>
        <v>$100K–$200K</v>
      </c>
      <c r="J958" s="9" t="str">
        <f t="shared" si="70"/>
        <v>2020s</v>
      </c>
      <c r="K958">
        <f t="shared" si="71"/>
        <v>3.8802322028719832E-2</v>
      </c>
      <c r="L958">
        <f t="shared" si="72"/>
        <v>0.25577367205542723</v>
      </c>
      <c r="M958">
        <f t="shared" si="73"/>
        <v>0.72340425531914887</v>
      </c>
      <c r="N958">
        <f t="shared" si="74"/>
        <v>0.33932674980109861</v>
      </c>
    </row>
    <row r="959" spans="1:14">
      <c r="A959" t="s">
        <v>24</v>
      </c>
      <c r="B959" t="s">
        <v>87</v>
      </c>
      <c r="C959">
        <v>2021</v>
      </c>
      <c r="D959">
        <v>6.5</v>
      </c>
      <c r="E959">
        <v>759</v>
      </c>
      <c r="F959">
        <v>531</v>
      </c>
      <c r="G959">
        <v>2.8</v>
      </c>
      <c r="H959" s="4">
        <v>517770</v>
      </c>
      <c r="I959" s="8" t="str" cm="1">
        <f t="array" ref="I959">_xlfn.IFS(H959&lt;50000,"Under $50K", H959&lt;100000,"$50K–$100K",
     H959&lt;200000,"$100K–$200K", H959&lt;500000,"$200K–$500K",
     H959&gt;=500000,"$500K+")</f>
        <v>$500K+</v>
      </c>
      <c r="J959" s="9" t="str">
        <f t="shared" si="70"/>
        <v>2020s</v>
      </c>
      <c r="K959">
        <f t="shared" si="71"/>
        <v>5.8865464914960787E-2</v>
      </c>
      <c r="L959">
        <f t="shared" si="72"/>
        <v>0.30658198614318705</v>
      </c>
      <c r="M959">
        <f t="shared" si="73"/>
        <v>0.78723404255319152</v>
      </c>
      <c r="N959">
        <f t="shared" si="74"/>
        <v>0.38422716453711314</v>
      </c>
    </row>
    <row r="960" spans="1:14">
      <c r="A960" t="s">
        <v>20</v>
      </c>
      <c r="B960" t="s">
        <v>92</v>
      </c>
      <c r="C960">
        <v>2021</v>
      </c>
      <c r="D960">
        <v>3.5</v>
      </c>
      <c r="E960">
        <v>660</v>
      </c>
      <c r="F960">
        <v>550</v>
      </c>
      <c r="G960">
        <v>3</v>
      </c>
      <c r="H960" s="4">
        <v>500000</v>
      </c>
      <c r="I960" s="8" t="str" cm="1">
        <f t="array" ref="I960">_xlfn.IFS(H960&lt;50000,"Under $50K", H960&lt;100000,"$50K–$100K",
     H960&lt;200000,"$100K–$200K", H960&lt;500000,"$200K–$500K",
     H960&gt;=500000,"$500K+")</f>
        <v>$500K+</v>
      </c>
      <c r="J960" s="9" t="str">
        <f t="shared" si="70"/>
        <v>2020s</v>
      </c>
      <c r="K960">
        <f t="shared" si="71"/>
        <v>4.8782971789387924E-2</v>
      </c>
      <c r="L960">
        <f t="shared" si="72"/>
        <v>0.31755196304849886</v>
      </c>
      <c r="M960">
        <f t="shared" si="73"/>
        <v>0.74468085106382986</v>
      </c>
      <c r="N960">
        <f t="shared" si="74"/>
        <v>0.37033859530057223</v>
      </c>
    </row>
    <row r="961" spans="1:14">
      <c r="A961" t="s">
        <v>13</v>
      </c>
      <c r="B961" t="s">
        <v>187</v>
      </c>
      <c r="C961">
        <v>2022</v>
      </c>
      <c r="D961">
        <v>4</v>
      </c>
      <c r="E961">
        <v>591</v>
      </c>
      <c r="F961">
        <v>590</v>
      </c>
      <c r="G961">
        <v>3.5</v>
      </c>
      <c r="H961" s="4">
        <v>114000</v>
      </c>
      <c r="I961" s="8" t="str" cm="1">
        <f t="array" ref="I961">_xlfn.IFS(H961&lt;50000,"Under $50K", H961&lt;100000,"$50K–$100K",
     H961&lt;200000,"$100K–$200K", H961&lt;500000,"$200K–$500K",
     H961&gt;=500000,"$500K+")</f>
        <v>$100K–$200K</v>
      </c>
      <c r="J961" s="9" t="str">
        <f t="shared" si="70"/>
        <v>2020s</v>
      </c>
      <c r="K961">
        <f t="shared" si="71"/>
        <v>4.1755779610958346E-2</v>
      </c>
      <c r="L961">
        <f t="shared" si="72"/>
        <v>0.34064665127020788</v>
      </c>
      <c r="M961">
        <f t="shared" si="73"/>
        <v>0.63829787234042556</v>
      </c>
      <c r="N961">
        <f t="shared" si="74"/>
        <v>0.34023343440719728</v>
      </c>
    </row>
    <row r="962" spans="1:14">
      <c r="A962" t="s">
        <v>15</v>
      </c>
      <c r="B962" t="s">
        <v>90</v>
      </c>
      <c r="C962">
        <v>2022</v>
      </c>
      <c r="D962">
        <v>3</v>
      </c>
      <c r="E962">
        <v>473</v>
      </c>
      <c r="F962">
        <v>406</v>
      </c>
      <c r="G962">
        <v>4.0999999999999996</v>
      </c>
      <c r="H962" s="4">
        <v>72800</v>
      </c>
      <c r="I962" s="8" t="str" cm="1">
        <f t="array" ref="I962">_xlfn.IFS(H962&lt;50000,"Under $50K", H962&lt;100000,"$50K–$100K",
     H962&lt;200000,"$100K–$200K", H962&lt;500000,"$200K–$500K",
     H962&gt;=500000,"$500K+")</f>
        <v>$50K–$100K</v>
      </c>
      <c r="J962" s="9" t="str">
        <f t="shared" si="70"/>
        <v>2020s</v>
      </c>
      <c r="K962">
        <f t="shared" si="71"/>
        <v>2.9738262552194725E-2</v>
      </c>
      <c r="L962">
        <f t="shared" si="72"/>
        <v>0.23441108545034642</v>
      </c>
      <c r="M962">
        <f t="shared" si="73"/>
        <v>0.5106382978723405</v>
      </c>
      <c r="N962">
        <f t="shared" si="74"/>
        <v>0.25826254862496056</v>
      </c>
    </row>
    <row r="963" spans="1:14">
      <c r="A963" t="s">
        <v>30</v>
      </c>
      <c r="B963" t="s">
        <v>248</v>
      </c>
      <c r="C963">
        <v>2022</v>
      </c>
      <c r="D963">
        <v>4</v>
      </c>
      <c r="E963">
        <v>503</v>
      </c>
      <c r="F963">
        <v>516</v>
      </c>
      <c r="G963">
        <v>3.7</v>
      </c>
      <c r="H963" s="4">
        <v>78100</v>
      </c>
      <c r="I963" s="8" t="str" cm="1">
        <f t="array" ref="I963">_xlfn.IFS(H963&lt;50000,"Under $50K", H963&lt;100000,"$50K–$100K",
     H963&lt;200000,"$100K–$200K", H963&lt;500000,"$200K–$500K",
     H963&gt;=500000,"$500K+")</f>
        <v>$50K–$100K</v>
      </c>
      <c r="J963" s="9" t="str">
        <f t="shared" ref="J963:J1008" si="75">_xlfn.CONCAT(INT(C963/10)*10,"s")</f>
        <v>2020s</v>
      </c>
      <c r="K963">
        <f t="shared" ref="K963:K1008" si="76">(E963-MIN($E$2:$E$1008))/(MAX($E$2:$E$1008)-MIN($E$2:$E$1008))</f>
        <v>3.279356349933802E-2</v>
      </c>
      <c r="L963">
        <f t="shared" ref="L963:L1008" si="77">(F963-MIN($F$2:$F$501))/(MAX($F$2:$F$501)-MIN($F$2:$F$501))</f>
        <v>0.29792147806004621</v>
      </c>
      <c r="M963">
        <f t="shared" ref="M963:M1008" si="78">1-((G963-MIN($G$2:$G$501))/(MAX($G$2:$G$501)-MIN($G$2:$G$501)))</f>
        <v>0.5957446808510638</v>
      </c>
      <c r="N963">
        <f t="shared" ref="N963:N1008" si="79">AVERAGE(K963,L963,M963)</f>
        <v>0.30881990747014937</v>
      </c>
    </row>
    <row r="964" spans="1:14">
      <c r="A964" t="s">
        <v>17</v>
      </c>
      <c r="B964" t="s">
        <v>91</v>
      </c>
      <c r="C964">
        <v>2021</v>
      </c>
      <c r="D964">
        <v>6.2</v>
      </c>
      <c r="E964">
        <v>650</v>
      </c>
      <c r="F964">
        <v>650</v>
      </c>
      <c r="G964">
        <v>3.5</v>
      </c>
      <c r="H964" s="4">
        <v>63000</v>
      </c>
      <c r="I964" s="8" t="str" cm="1">
        <f t="array" ref="I964">_xlfn.IFS(H964&lt;50000,"Under $50K", H964&lt;100000,"$50K–$100K",
     H964&lt;200000,"$100K–$200K", H964&lt;500000,"$200K–$500K",
     H964&gt;=500000,"$500K+")</f>
        <v>$50K–$100K</v>
      </c>
      <c r="J964" s="9" t="str">
        <f t="shared" si="75"/>
        <v>2020s</v>
      </c>
      <c r="K964">
        <f t="shared" si="76"/>
        <v>4.7764538140340158E-2</v>
      </c>
      <c r="L964">
        <f t="shared" si="77"/>
        <v>0.37528868360277134</v>
      </c>
      <c r="M964">
        <f t="shared" si="78"/>
        <v>0.63829787234042556</v>
      </c>
      <c r="N964">
        <f t="shared" si="79"/>
        <v>0.35378369802784571</v>
      </c>
    </row>
    <row r="965" spans="1:14">
      <c r="A965" t="s">
        <v>18</v>
      </c>
      <c r="B965" t="s">
        <v>189</v>
      </c>
      <c r="C965">
        <v>2021</v>
      </c>
      <c r="D965">
        <v>6.2</v>
      </c>
      <c r="E965">
        <v>717</v>
      </c>
      <c r="F965">
        <v>650</v>
      </c>
      <c r="G965">
        <v>3.6</v>
      </c>
      <c r="H965" s="4">
        <v>70000</v>
      </c>
      <c r="I965" s="8" t="str" cm="1">
        <f t="array" ref="I965">_xlfn.IFS(H965&lt;50000,"Under $50K", H965&lt;100000,"$50K–$100K",
     H965&lt;200000,"$100K–$200K", H965&lt;500000,"$200K–$500K",
     H965&gt;=500000,"$500K+")</f>
        <v>$50K–$100K</v>
      </c>
      <c r="J965" s="9" t="str">
        <f t="shared" si="75"/>
        <v>2020s</v>
      </c>
      <c r="K965">
        <f t="shared" si="76"/>
        <v>5.4588043588960182E-2</v>
      </c>
      <c r="L965">
        <f t="shared" si="77"/>
        <v>0.37528868360277134</v>
      </c>
      <c r="M965">
        <f t="shared" si="78"/>
        <v>0.61702127659574468</v>
      </c>
      <c r="N965">
        <f t="shared" si="79"/>
        <v>0.34896600126249205</v>
      </c>
    </row>
    <row r="966" spans="1:14">
      <c r="A966" t="s">
        <v>9</v>
      </c>
      <c r="B966" t="s">
        <v>78</v>
      </c>
      <c r="C966">
        <v>2021</v>
      </c>
      <c r="D966">
        <v>2.9</v>
      </c>
      <c r="E966">
        <v>505</v>
      </c>
      <c r="F966">
        <v>443</v>
      </c>
      <c r="G966">
        <v>3.8</v>
      </c>
      <c r="H966" s="4">
        <v>78450</v>
      </c>
      <c r="I966" s="8" t="str" cm="1">
        <f t="array" ref="I966">_xlfn.IFS(H966&lt;50000,"Under $50K", H966&lt;100000,"$50K–$100K",
     H966&lt;200000,"$100K–$200K", H966&lt;500000,"$200K–$500K",
     H966&gt;=500000,"$500K+")</f>
        <v>$50K–$100K</v>
      </c>
      <c r="J966" s="9" t="str">
        <f t="shared" si="75"/>
        <v>2020s</v>
      </c>
      <c r="K966">
        <f t="shared" si="76"/>
        <v>3.2997250229147568E-2</v>
      </c>
      <c r="L966">
        <f t="shared" si="77"/>
        <v>0.25577367205542723</v>
      </c>
      <c r="M966">
        <f t="shared" si="78"/>
        <v>0.57446808510638303</v>
      </c>
      <c r="N966">
        <f t="shared" si="79"/>
        <v>0.28774633579698594</v>
      </c>
    </row>
    <row r="967" spans="1:14">
      <c r="A967" t="s">
        <v>41</v>
      </c>
      <c r="B967" t="s">
        <v>143</v>
      </c>
      <c r="C967">
        <v>2022</v>
      </c>
      <c r="D967" t="s">
        <v>85</v>
      </c>
      <c r="E967" s="1">
        <v>1020</v>
      </c>
      <c r="F967" s="1">
        <v>1050</v>
      </c>
      <c r="G967">
        <v>1.9</v>
      </c>
      <c r="H967" s="4">
        <v>141190</v>
      </c>
      <c r="I967" s="8" t="str" cm="1">
        <f t="array" ref="I967">_xlfn.IFS(H967&lt;50000,"Under $50K", H967&lt;100000,"$50K–$100K",
     H967&lt;200000,"$100K–$200K", H967&lt;500000,"$200K–$500K",
     H967&gt;=500000,"$500K+")</f>
        <v>$100K–$200K</v>
      </c>
      <c r="J967" s="9" t="str">
        <f t="shared" si="75"/>
        <v>2020s</v>
      </c>
      <c r="K967">
        <f t="shared" si="76"/>
        <v>8.5446583155107447E-2</v>
      </c>
      <c r="L967">
        <f t="shared" si="77"/>
        <v>0.60623556581986138</v>
      </c>
      <c r="M967">
        <f t="shared" si="78"/>
        <v>0.97872340425531923</v>
      </c>
      <c r="N967">
        <f t="shared" si="79"/>
        <v>0.55680185107676261</v>
      </c>
    </row>
    <row r="968" spans="1:14">
      <c r="A968" t="s">
        <v>19</v>
      </c>
      <c r="B968" t="s">
        <v>88</v>
      </c>
      <c r="C968">
        <v>2021</v>
      </c>
      <c r="D968">
        <v>4</v>
      </c>
      <c r="E968">
        <v>986</v>
      </c>
      <c r="F968">
        <v>590</v>
      </c>
      <c r="G968">
        <v>2.5</v>
      </c>
      <c r="H968" s="4">
        <v>625000</v>
      </c>
      <c r="I968" s="8" t="str" cm="1">
        <f t="array" ref="I968">_xlfn.IFS(H968&lt;50000,"Under $50K", H968&lt;100000,"$50K–$100K",
     H968&lt;200000,"$100K–$200K", H968&lt;500000,"$200K–$500K",
     H968&gt;=500000,"$500K+")</f>
        <v>$500K+</v>
      </c>
      <c r="J968" s="9" t="str">
        <f t="shared" si="75"/>
        <v>2020s</v>
      </c>
      <c r="K968">
        <f t="shared" si="76"/>
        <v>8.1983908748345047E-2</v>
      </c>
      <c r="L968">
        <f t="shared" si="77"/>
        <v>0.34064665127020788</v>
      </c>
      <c r="M968">
        <f t="shared" si="78"/>
        <v>0.85106382978723405</v>
      </c>
      <c r="N968">
        <f t="shared" si="79"/>
        <v>0.42456479660192903</v>
      </c>
    </row>
    <row r="969" spans="1:14">
      <c r="A969" t="s">
        <v>36</v>
      </c>
      <c r="B969" t="s">
        <v>133</v>
      </c>
      <c r="C969">
        <v>2021</v>
      </c>
      <c r="D969" t="s">
        <v>228</v>
      </c>
      <c r="E969">
        <v>689</v>
      </c>
      <c r="F969">
        <v>642</v>
      </c>
      <c r="G969">
        <v>3</v>
      </c>
      <c r="H969" s="4">
        <v>190000</v>
      </c>
      <c r="I969" s="8" t="str" cm="1">
        <f t="array" ref="I969">_xlfn.IFS(H969&lt;50000,"Under $50K", H969&lt;100000,"$50K–$100K",
     H969&lt;200000,"$100K–$200K", H969&lt;500000,"$200K–$500K",
     H969&gt;=500000,"$500K+")</f>
        <v>$100K–$200K</v>
      </c>
      <c r="J969" s="9" t="str">
        <f t="shared" si="75"/>
        <v>2020s</v>
      </c>
      <c r="K969">
        <f t="shared" si="76"/>
        <v>5.1736429371626438E-2</v>
      </c>
      <c r="L969">
        <f t="shared" si="77"/>
        <v>0.37066974595842955</v>
      </c>
      <c r="M969">
        <f t="shared" si="78"/>
        <v>0.74468085106382986</v>
      </c>
      <c r="N969">
        <f t="shared" si="79"/>
        <v>0.38902900879796193</v>
      </c>
    </row>
    <row r="970" spans="1:14">
      <c r="A970" t="s">
        <v>29</v>
      </c>
      <c r="B970" t="s">
        <v>81</v>
      </c>
      <c r="C970">
        <v>2022</v>
      </c>
      <c r="D970">
        <v>3</v>
      </c>
      <c r="E970">
        <v>671</v>
      </c>
      <c r="F970">
        <v>531</v>
      </c>
      <c r="G970">
        <v>3</v>
      </c>
      <c r="H970" s="4">
        <v>225000</v>
      </c>
      <c r="I970" s="8" t="str" cm="1">
        <f t="array" ref="I970">_xlfn.IFS(H970&lt;50000,"Under $50K", H970&lt;100000,"$50K–$100K",
     H970&lt;200000,"$100K–$200K", H970&lt;500000,"$200K–$500K",
     H970&gt;=500000,"$500K+")</f>
        <v>$200K–$500K</v>
      </c>
      <c r="J970" s="9" t="str">
        <f t="shared" si="75"/>
        <v>2020s</v>
      </c>
      <c r="K970">
        <f t="shared" si="76"/>
        <v>4.9903248803340461E-2</v>
      </c>
      <c r="L970">
        <f t="shared" si="77"/>
        <v>0.30658198614318705</v>
      </c>
      <c r="M970">
        <f t="shared" si="78"/>
        <v>0.74468085106382986</v>
      </c>
      <c r="N970">
        <f t="shared" si="79"/>
        <v>0.36705536200345246</v>
      </c>
    </row>
    <row r="971" spans="1:14">
      <c r="A971" t="s">
        <v>24</v>
      </c>
      <c r="B971" t="s">
        <v>96</v>
      </c>
      <c r="C971">
        <v>2021</v>
      </c>
      <c r="D971">
        <v>4</v>
      </c>
      <c r="E971">
        <v>641</v>
      </c>
      <c r="F971">
        <v>627</v>
      </c>
      <c r="G971">
        <v>3.6</v>
      </c>
      <c r="H971" s="4">
        <v>222000</v>
      </c>
      <c r="I971" s="8" t="str" cm="1">
        <f t="array" ref="I971">_xlfn.IFS(H971&lt;50000,"Under $50K", H971&lt;100000,"$50K–$100K",
     H971&lt;200000,"$100K–$200K", H971&lt;500000,"$200K–$500K",
     H971&gt;=500000,"$500K+")</f>
        <v>$200K–$500K</v>
      </c>
      <c r="J971" s="9" t="str">
        <f t="shared" si="75"/>
        <v>2020s</v>
      </c>
      <c r="K971">
        <f t="shared" si="76"/>
        <v>4.684794785619717E-2</v>
      </c>
      <c r="L971">
        <f t="shared" si="77"/>
        <v>0.36200923787528866</v>
      </c>
      <c r="M971">
        <f t="shared" si="78"/>
        <v>0.61702127659574468</v>
      </c>
      <c r="N971">
        <f t="shared" si="79"/>
        <v>0.34195948744241017</v>
      </c>
    </row>
    <row r="972" spans="1:14">
      <c r="A972" t="s">
        <v>20</v>
      </c>
      <c r="B972" t="s">
        <v>121</v>
      </c>
      <c r="C972">
        <v>2021</v>
      </c>
      <c r="D972">
        <v>5</v>
      </c>
      <c r="E972">
        <v>480</v>
      </c>
      <c r="F972">
        <v>420</v>
      </c>
      <c r="G972">
        <v>4</v>
      </c>
      <c r="H972" s="4">
        <v>52915</v>
      </c>
      <c r="I972" s="8" t="str" cm="1">
        <f t="array" ref="I972">_xlfn.IFS(H972&lt;50000,"Under $50K", H972&lt;100000,"$50K–$100K",
     H972&lt;200000,"$100K–$200K", H972&lt;500000,"$200K–$500K",
     H972&gt;=500000,"$500K+")</f>
        <v>$50K–$100K</v>
      </c>
      <c r="J972" s="9" t="str">
        <f t="shared" si="75"/>
        <v>2020s</v>
      </c>
      <c r="K972">
        <f t="shared" si="76"/>
        <v>3.045116610652816E-2</v>
      </c>
      <c r="L972">
        <f t="shared" si="77"/>
        <v>0.24249422632794457</v>
      </c>
      <c r="M972">
        <f t="shared" si="78"/>
        <v>0.53191489361702127</v>
      </c>
      <c r="N972">
        <f t="shared" si="79"/>
        <v>0.26828676201716467</v>
      </c>
    </row>
    <row r="973" spans="1:14">
      <c r="A973" t="s">
        <v>36</v>
      </c>
      <c r="B973">
        <v>911</v>
      </c>
      <c r="C973">
        <v>2022</v>
      </c>
      <c r="D973">
        <v>3</v>
      </c>
      <c r="E973">
        <v>379</v>
      </c>
      <c r="F973">
        <v>331</v>
      </c>
      <c r="G973">
        <v>4</v>
      </c>
      <c r="H973" s="4">
        <v>101200</v>
      </c>
      <c r="I973" s="8" t="str" cm="1">
        <f t="array" ref="I973">_xlfn.IFS(H973&lt;50000,"Under $50K", H973&lt;100000,"$50K–$100K",
     H973&lt;200000,"$100K–$200K", H973&lt;500000,"$200K–$500K",
     H973&gt;=500000,"$500K+")</f>
        <v>$100K–$200K</v>
      </c>
      <c r="J973" s="9" t="str">
        <f t="shared" si="75"/>
        <v>2020s</v>
      </c>
      <c r="K973">
        <f t="shared" si="76"/>
        <v>2.0164986251145739E-2</v>
      </c>
      <c r="L973">
        <f t="shared" si="77"/>
        <v>0.19110854503464203</v>
      </c>
      <c r="M973">
        <f t="shared" si="78"/>
        <v>0.53191489361702127</v>
      </c>
      <c r="N973">
        <f t="shared" si="79"/>
        <v>0.247729474967603</v>
      </c>
    </row>
    <row r="974" spans="1:14">
      <c r="A974" t="s">
        <v>24</v>
      </c>
      <c r="B974" t="s">
        <v>60</v>
      </c>
      <c r="C974">
        <v>2021</v>
      </c>
      <c r="D974">
        <v>5.2</v>
      </c>
      <c r="E974">
        <v>630</v>
      </c>
      <c r="F974">
        <v>443</v>
      </c>
      <c r="G974">
        <v>2.8</v>
      </c>
      <c r="H974" s="4">
        <v>274390</v>
      </c>
      <c r="I974" s="8" t="str" cm="1">
        <f t="array" ref="I974">_xlfn.IFS(H974&lt;50000,"Under $50K", H974&lt;100000,"$50K–$100K",
     H974&lt;200000,"$100K–$200K", H974&lt;500000,"$200K–$500K",
     H974&gt;=500000,"$500K+")</f>
        <v>$200K–$500K</v>
      </c>
      <c r="J974" s="9" t="str">
        <f t="shared" si="75"/>
        <v>2020s</v>
      </c>
      <c r="K974">
        <f t="shared" si="76"/>
        <v>4.5727670842244626E-2</v>
      </c>
      <c r="L974">
        <f t="shared" si="77"/>
        <v>0.25577367205542723</v>
      </c>
      <c r="M974">
        <f t="shared" si="78"/>
        <v>0.78723404255319152</v>
      </c>
      <c r="N974">
        <f t="shared" si="79"/>
        <v>0.36291179515028782</v>
      </c>
    </row>
    <row r="975" spans="1:14">
      <c r="A975" t="s">
        <v>19</v>
      </c>
      <c r="B975" t="s">
        <v>61</v>
      </c>
      <c r="C975">
        <v>2022</v>
      </c>
      <c r="D975">
        <v>3.9</v>
      </c>
      <c r="E975">
        <v>661</v>
      </c>
      <c r="F975">
        <v>561</v>
      </c>
      <c r="G975">
        <v>3</v>
      </c>
      <c r="H975" s="4">
        <v>333750</v>
      </c>
      <c r="I975" s="8" t="str" cm="1">
        <f t="array" ref="I975">_xlfn.IFS(H975&lt;50000,"Under $50K", H975&lt;100000,"$50K–$100K",
     H975&lt;200000,"$100K–$200K", H975&lt;500000,"$200K–$500K",
     H975&gt;=500000,"$500K+")</f>
        <v>$200K–$500K</v>
      </c>
      <c r="J975" s="9" t="str">
        <f t="shared" si="75"/>
        <v>2020s</v>
      </c>
      <c r="K975">
        <f t="shared" si="76"/>
        <v>4.8884815154292695E-2</v>
      </c>
      <c r="L975">
        <f t="shared" si="77"/>
        <v>0.32390300230946883</v>
      </c>
      <c r="M975">
        <f t="shared" si="78"/>
        <v>0.74468085106382986</v>
      </c>
      <c r="N975">
        <f t="shared" si="79"/>
        <v>0.37248955617586382</v>
      </c>
    </row>
    <row r="976" spans="1:14">
      <c r="A976" t="s">
        <v>13</v>
      </c>
      <c r="B976" t="s">
        <v>62</v>
      </c>
      <c r="C976">
        <v>2022</v>
      </c>
      <c r="D976">
        <v>5.2</v>
      </c>
      <c r="E976">
        <v>562</v>
      </c>
      <c r="F976">
        <v>406</v>
      </c>
      <c r="G976">
        <v>3.2</v>
      </c>
      <c r="H976" s="4">
        <v>142700</v>
      </c>
      <c r="I976" s="8" t="str" cm="1">
        <f t="array" ref="I976">_xlfn.IFS(H976&lt;50000,"Under $50K", H976&lt;100000,"$50K–$100K",
     H976&lt;200000,"$100K–$200K", H976&lt;500000,"$200K–$500K",
     H976&gt;=500000,"$500K+")</f>
        <v>$100K–$200K</v>
      </c>
      <c r="J976" s="9" t="str">
        <f t="shared" si="75"/>
        <v>2020s</v>
      </c>
      <c r="K976">
        <f t="shared" si="76"/>
        <v>3.8802322028719832E-2</v>
      </c>
      <c r="L976">
        <f t="shared" si="77"/>
        <v>0.23441108545034642</v>
      </c>
      <c r="M976">
        <f t="shared" si="78"/>
        <v>0.7021276595744681</v>
      </c>
      <c r="N976">
        <f t="shared" si="79"/>
        <v>0.32511368901784476</v>
      </c>
    </row>
    <row r="977" spans="1:14">
      <c r="A977" t="s">
        <v>29</v>
      </c>
      <c r="B977" t="s">
        <v>63</v>
      </c>
      <c r="C977">
        <v>2021</v>
      </c>
      <c r="D977">
        <v>4</v>
      </c>
      <c r="E977">
        <v>710</v>
      </c>
      <c r="F977">
        <v>568</v>
      </c>
      <c r="G977">
        <v>2.7</v>
      </c>
      <c r="H977" s="4">
        <v>298000</v>
      </c>
      <c r="I977" s="8" t="str" cm="1">
        <f t="array" ref="I977">_xlfn.IFS(H977&lt;50000,"Under $50K", H977&lt;100000,"$50K–$100K",
     H977&lt;200000,"$100K–$200K", H977&lt;500000,"$200K–$500K",
     H977&gt;=500000,"$500K+")</f>
        <v>$200K–$500K</v>
      </c>
      <c r="J977" s="9" t="str">
        <f t="shared" si="75"/>
        <v>2020s</v>
      </c>
      <c r="K977">
        <f t="shared" si="76"/>
        <v>5.3875140034626741E-2</v>
      </c>
      <c r="L977">
        <f t="shared" si="77"/>
        <v>0.32794457274826788</v>
      </c>
      <c r="M977">
        <f t="shared" si="78"/>
        <v>0.80851063829787229</v>
      </c>
      <c r="N977">
        <f t="shared" si="79"/>
        <v>0.39677678369358899</v>
      </c>
    </row>
    <row r="978" spans="1:14">
      <c r="A978" t="s">
        <v>15</v>
      </c>
      <c r="B978" t="s">
        <v>64</v>
      </c>
      <c r="C978">
        <v>2022</v>
      </c>
      <c r="D978">
        <v>4.4000000000000004</v>
      </c>
      <c r="E978">
        <v>617</v>
      </c>
      <c r="F978">
        <v>553</v>
      </c>
      <c r="G978">
        <v>3.1</v>
      </c>
      <c r="H978" s="4">
        <v>130000</v>
      </c>
      <c r="I978" s="8" t="str" cm="1">
        <f t="array" ref="I978">_xlfn.IFS(H978&lt;50000,"Under $50K", H978&lt;100000,"$50K–$100K",
     H978&lt;200000,"$100K–$200K", H978&lt;500000,"$200K–$500K",
     H978&gt;=500000,"$500K+")</f>
        <v>$100K–$200K</v>
      </c>
      <c r="J978" s="9" t="str">
        <f t="shared" si="75"/>
        <v>2020s</v>
      </c>
      <c r="K978">
        <f t="shared" si="76"/>
        <v>4.4403707098482535E-2</v>
      </c>
      <c r="L978">
        <f t="shared" si="77"/>
        <v>0.31928406466512704</v>
      </c>
      <c r="M978">
        <f t="shared" si="78"/>
        <v>0.72340425531914887</v>
      </c>
      <c r="N978">
        <f t="shared" si="79"/>
        <v>0.36236400902758614</v>
      </c>
    </row>
    <row r="979" spans="1:14">
      <c r="A979" t="s">
        <v>31</v>
      </c>
      <c r="B979" t="s">
        <v>65</v>
      </c>
      <c r="C979">
        <v>2021</v>
      </c>
      <c r="D979">
        <v>4</v>
      </c>
      <c r="E979">
        <v>523</v>
      </c>
      <c r="F979">
        <v>494</v>
      </c>
      <c r="G979">
        <v>3.8</v>
      </c>
      <c r="H979" s="4">
        <v>118500</v>
      </c>
      <c r="I979" s="8" t="str" cm="1">
        <f t="array" ref="I979">_xlfn.IFS(H979&lt;50000,"Under $50K", H979&lt;100000,"$50K–$100K",
     H979&lt;200000,"$100K–$200K", H979&lt;500000,"$200K–$500K",
     H979&gt;=500000,"$500K+")</f>
        <v>$100K–$200K</v>
      </c>
      <c r="J979" s="9" t="str">
        <f t="shared" si="75"/>
        <v>2020s</v>
      </c>
      <c r="K979">
        <f t="shared" si="76"/>
        <v>3.4830430797433545E-2</v>
      </c>
      <c r="L979">
        <f t="shared" si="77"/>
        <v>0.28521939953810621</v>
      </c>
      <c r="M979">
        <f t="shared" si="78"/>
        <v>0.57446808510638303</v>
      </c>
      <c r="N979">
        <f t="shared" si="79"/>
        <v>0.29817263848064091</v>
      </c>
    </row>
    <row r="980" spans="1:14">
      <c r="A980" t="s">
        <v>17</v>
      </c>
      <c r="B980" t="s">
        <v>66</v>
      </c>
      <c r="C980">
        <v>2021</v>
      </c>
      <c r="D980">
        <v>6.2</v>
      </c>
      <c r="E980">
        <v>490</v>
      </c>
      <c r="F980">
        <v>465</v>
      </c>
      <c r="G980">
        <v>2.8</v>
      </c>
      <c r="H980" s="4">
        <v>59900</v>
      </c>
      <c r="I980" s="8" t="str" cm="1">
        <f t="array" ref="I980">_xlfn.IFS(H980&lt;50000,"Under $50K", H980&lt;100000,"$50K–$100K",
     H980&lt;200000,"$100K–$200K", H980&lt;500000,"$200K–$500K",
     H980&gt;=500000,"$500K+")</f>
        <v>$50K–$100K</v>
      </c>
      <c r="J980" s="9" t="str">
        <f t="shared" si="75"/>
        <v>2020s</v>
      </c>
      <c r="K980">
        <f t="shared" si="76"/>
        <v>3.1469599755575922E-2</v>
      </c>
      <c r="L980">
        <f t="shared" si="77"/>
        <v>0.26847575057736722</v>
      </c>
      <c r="M980">
        <f t="shared" si="78"/>
        <v>0.78723404255319152</v>
      </c>
      <c r="N980">
        <f t="shared" si="79"/>
        <v>0.3623931309620449</v>
      </c>
    </row>
    <row r="981" spans="1:14">
      <c r="A981" t="s">
        <v>20</v>
      </c>
      <c r="B981" t="s">
        <v>67</v>
      </c>
      <c r="C981">
        <v>2022</v>
      </c>
      <c r="D981">
        <v>5.2</v>
      </c>
      <c r="E981">
        <v>760</v>
      </c>
      <c r="F981">
        <v>625</v>
      </c>
      <c r="G981">
        <v>3.5</v>
      </c>
      <c r="H981" s="4">
        <v>81000</v>
      </c>
      <c r="I981" s="8" t="str" cm="1">
        <f t="array" ref="I981">_xlfn.IFS(H981&lt;50000,"Under $50K", H981&lt;100000,"$50K–$100K",
     H981&lt;200000,"$100K–$200K", H981&lt;500000,"$200K–$500K",
     H981&gt;=500000,"$500K+")</f>
        <v>$50K–$100K</v>
      </c>
      <c r="J981" s="9" t="str">
        <f t="shared" si="75"/>
        <v>2020s</v>
      </c>
      <c r="K981">
        <f t="shared" si="76"/>
        <v>5.8967308279865564E-2</v>
      </c>
      <c r="L981">
        <f t="shared" si="77"/>
        <v>0.36085450346420322</v>
      </c>
      <c r="M981">
        <f t="shared" si="78"/>
        <v>0.63829787234042556</v>
      </c>
      <c r="N981">
        <f t="shared" si="79"/>
        <v>0.35270656136149814</v>
      </c>
    </row>
    <row r="982" spans="1:14">
      <c r="A982" t="s">
        <v>32</v>
      </c>
      <c r="B982" t="s">
        <v>68</v>
      </c>
      <c r="C982">
        <v>2021</v>
      </c>
      <c r="D982">
        <v>3.8</v>
      </c>
      <c r="E982">
        <v>600</v>
      </c>
      <c r="F982">
        <v>481</v>
      </c>
      <c r="G982">
        <v>2.5</v>
      </c>
      <c r="H982" s="4">
        <v>212000</v>
      </c>
      <c r="I982" s="8" t="str" cm="1">
        <f t="array" ref="I982">_xlfn.IFS(H982&lt;50000,"Under $50K", H982&lt;100000,"$50K–$100K",
     H982&lt;200000,"$100K–$200K", H982&lt;500000,"$200K–$500K",
     H982&gt;=500000,"$500K+")</f>
        <v>$200K–$500K</v>
      </c>
      <c r="J982" s="9" t="str">
        <f t="shared" si="75"/>
        <v>2020s</v>
      </c>
      <c r="K982">
        <f t="shared" si="76"/>
        <v>4.2672369895101335E-2</v>
      </c>
      <c r="L982">
        <f t="shared" si="77"/>
        <v>0.27771362586605081</v>
      </c>
      <c r="M982">
        <f t="shared" si="78"/>
        <v>0.85106382978723405</v>
      </c>
      <c r="N982">
        <f t="shared" si="79"/>
        <v>0.39048327518279535</v>
      </c>
    </row>
    <row r="983" spans="1:14">
      <c r="A983" t="s">
        <v>18</v>
      </c>
      <c r="B983" t="s">
        <v>71</v>
      </c>
      <c r="C983">
        <v>2021</v>
      </c>
      <c r="D983">
        <v>6.2</v>
      </c>
      <c r="E983">
        <v>717</v>
      </c>
      <c r="F983">
        <v>656</v>
      </c>
      <c r="G983">
        <v>3.5</v>
      </c>
      <c r="H983" s="4">
        <v>64195</v>
      </c>
      <c r="I983" s="8" t="str" cm="1">
        <f t="array" ref="I983">_xlfn.IFS(H983&lt;50000,"Under $50K", H983&lt;100000,"$50K–$100K",
     H983&lt;200000,"$100K–$200K", H983&lt;500000,"$200K–$500K",
     H983&gt;=500000,"$500K+")</f>
        <v>$50K–$100K</v>
      </c>
      <c r="J983" s="9" t="str">
        <f t="shared" si="75"/>
        <v>2020s</v>
      </c>
      <c r="K983">
        <f t="shared" si="76"/>
        <v>5.4588043588960182E-2</v>
      </c>
      <c r="L983">
        <f t="shared" si="77"/>
        <v>0.3787528868360277</v>
      </c>
      <c r="M983">
        <f t="shared" si="78"/>
        <v>0.63829787234042556</v>
      </c>
      <c r="N983">
        <f t="shared" si="79"/>
        <v>0.35721293425513778</v>
      </c>
    </row>
    <row r="984" spans="1:14">
      <c r="A984" t="s">
        <v>12</v>
      </c>
      <c r="B984" t="s">
        <v>107</v>
      </c>
      <c r="C984">
        <v>2021</v>
      </c>
      <c r="D984">
        <v>4</v>
      </c>
      <c r="E984">
        <v>503</v>
      </c>
      <c r="F984">
        <v>505</v>
      </c>
      <c r="G984">
        <v>3.6</v>
      </c>
      <c r="H984" s="4">
        <v>147000</v>
      </c>
      <c r="I984" s="8" t="str" cm="1">
        <f t="array" ref="I984">_xlfn.IFS(H984&lt;50000,"Under $50K", H984&lt;100000,"$50K–$100K",
     H984&lt;200000,"$100K–$200K", H984&lt;500000,"$200K–$500K",
     H984&gt;=500000,"$500K+")</f>
        <v>$100K–$200K</v>
      </c>
      <c r="J984" s="9" t="str">
        <f t="shared" si="75"/>
        <v>2020s</v>
      </c>
      <c r="K984">
        <f t="shared" si="76"/>
        <v>3.279356349933802E-2</v>
      </c>
      <c r="L984">
        <f t="shared" si="77"/>
        <v>0.29157043879907624</v>
      </c>
      <c r="M984">
        <f t="shared" si="78"/>
        <v>0.61702127659574468</v>
      </c>
      <c r="N984">
        <f t="shared" si="79"/>
        <v>0.31379509296471969</v>
      </c>
    </row>
    <row r="985" spans="1:14">
      <c r="A985" t="s">
        <v>16</v>
      </c>
      <c r="B985" t="s">
        <v>70</v>
      </c>
      <c r="C985">
        <v>2022</v>
      </c>
      <c r="D985">
        <v>8</v>
      </c>
      <c r="E985">
        <v>1500</v>
      </c>
      <c r="F985">
        <v>1180</v>
      </c>
      <c r="G985">
        <v>2.5</v>
      </c>
      <c r="H985" s="4">
        <v>3900000</v>
      </c>
      <c r="I985" s="8" t="str" cm="1">
        <f t="array" ref="I985">_xlfn.IFS(H985&lt;50000,"Under $50K", H985&lt;100000,"$50K–$100K",
     H985&lt;200000,"$100K–$200K", H985&lt;500000,"$200K–$500K",
     H985&gt;=500000,"$500K+")</f>
        <v>$500K+</v>
      </c>
      <c r="J985" s="9" t="str">
        <f t="shared" si="75"/>
        <v>2020s</v>
      </c>
      <c r="K985">
        <f t="shared" si="76"/>
        <v>0.13433139830940014</v>
      </c>
      <c r="L985">
        <f t="shared" si="77"/>
        <v>0.68129330254041576</v>
      </c>
      <c r="M985">
        <f t="shared" si="78"/>
        <v>0.85106382978723405</v>
      </c>
      <c r="N985">
        <f t="shared" si="79"/>
        <v>0.5555628435456833</v>
      </c>
    </row>
    <row r="986" spans="1:14">
      <c r="A986" t="s">
        <v>23</v>
      </c>
      <c r="B986" t="s">
        <v>73</v>
      </c>
      <c r="C986">
        <v>2022</v>
      </c>
      <c r="D986">
        <v>5</v>
      </c>
      <c r="E986">
        <v>1280</v>
      </c>
      <c r="F986">
        <v>1015</v>
      </c>
      <c r="G986">
        <v>2.5</v>
      </c>
      <c r="H986" s="4">
        <v>3000000</v>
      </c>
      <c r="I986" s="8" t="str" cm="1">
        <f t="array" ref="I986">_xlfn.IFS(H986&lt;50000,"Under $50K", H986&lt;100000,"$50K–$100K",
     H986&lt;200000,"$100K–$200K", H986&lt;500000,"$200K–$500K",
     H986&gt;=500000,"$500K+")</f>
        <v>$500K+</v>
      </c>
      <c r="J986" s="9" t="str">
        <f t="shared" si="75"/>
        <v>2020s</v>
      </c>
      <c r="K986">
        <f t="shared" si="76"/>
        <v>0.11192585803034932</v>
      </c>
      <c r="L986">
        <f t="shared" si="77"/>
        <v>0.58602771362586603</v>
      </c>
      <c r="M986">
        <f t="shared" si="78"/>
        <v>0.85106382978723405</v>
      </c>
      <c r="N986">
        <f t="shared" si="79"/>
        <v>0.51633913381448304</v>
      </c>
    </row>
    <row r="987" spans="1:14">
      <c r="A987" t="s">
        <v>33</v>
      </c>
      <c r="B987" t="s">
        <v>83</v>
      </c>
      <c r="C987">
        <v>2021</v>
      </c>
      <c r="D987">
        <v>6</v>
      </c>
      <c r="E987">
        <v>764</v>
      </c>
      <c r="F987">
        <v>740</v>
      </c>
      <c r="G987">
        <v>2.8</v>
      </c>
      <c r="H987" s="4">
        <v>2600000</v>
      </c>
      <c r="I987" s="8" t="str" cm="1">
        <f t="array" ref="I987">_xlfn.IFS(H987&lt;50000,"Under $50K", H987&lt;100000,"$50K–$100K",
     H987&lt;200000,"$100K–$200K", H987&lt;500000,"$200K–$500K",
     H987&gt;=500000,"$500K+")</f>
        <v>$500K+</v>
      </c>
      <c r="J987" s="9" t="str">
        <f t="shared" si="75"/>
        <v>2020s</v>
      </c>
      <c r="K987">
        <f t="shared" si="76"/>
        <v>5.9374681739484673E-2</v>
      </c>
      <c r="L987">
        <f t="shared" si="77"/>
        <v>0.42725173210161665</v>
      </c>
      <c r="M987">
        <f t="shared" si="78"/>
        <v>0.78723404255319152</v>
      </c>
      <c r="N987">
        <f t="shared" si="79"/>
        <v>0.42462015213143095</v>
      </c>
    </row>
    <row r="988" spans="1:14">
      <c r="A988" t="s">
        <v>37</v>
      </c>
      <c r="B988" t="s">
        <v>84</v>
      </c>
      <c r="C988">
        <v>2022</v>
      </c>
      <c r="D988" t="s">
        <v>85</v>
      </c>
      <c r="E988">
        <v>1914</v>
      </c>
      <c r="F988">
        <v>1696</v>
      </c>
      <c r="G988">
        <v>1.85</v>
      </c>
      <c r="H988" s="4">
        <v>2400000</v>
      </c>
      <c r="I988" s="8" t="str" cm="1">
        <f t="array" ref="I988">_xlfn.IFS(H988&lt;50000,"Under $50K", H988&lt;100000,"$50K–$100K",
     H988&lt;200000,"$100K–$200K", H988&lt;500000,"$200K–$500K",
     H988&gt;=500000,"$500K+")</f>
        <v>$500K+</v>
      </c>
      <c r="J988" s="9" t="str">
        <f t="shared" si="75"/>
        <v>2020s</v>
      </c>
      <c r="K988">
        <f t="shared" si="76"/>
        <v>0.1764945513799776</v>
      </c>
      <c r="L988">
        <f t="shared" si="77"/>
        <v>0.97921478060046185</v>
      </c>
      <c r="M988">
        <f t="shared" si="78"/>
        <v>0.98936170212765961</v>
      </c>
      <c r="N988">
        <f t="shared" si="79"/>
        <v>0.71502367803603306</v>
      </c>
    </row>
    <row r="989" spans="1:14">
      <c r="A989" t="s">
        <v>26</v>
      </c>
      <c r="B989" t="s">
        <v>191</v>
      </c>
      <c r="C989">
        <v>2022</v>
      </c>
      <c r="D989" t="s">
        <v>85</v>
      </c>
      <c r="E989">
        <v>1973</v>
      </c>
      <c r="F989">
        <v>1254</v>
      </c>
      <c r="G989">
        <v>2.5</v>
      </c>
      <c r="H989" s="4">
        <v>2000000</v>
      </c>
      <c r="I989" s="8" t="str" cm="1">
        <f t="array" ref="I989">_xlfn.IFS(H989&lt;50000,"Under $50K", H989&lt;100000,"$50K–$100K",
     H989&lt;200000,"$100K–$200K", H989&lt;500000,"$200K–$500K",
     H989&gt;=500000,"$500K+")</f>
        <v>$500K+</v>
      </c>
      <c r="J989" s="9" t="str">
        <f t="shared" si="75"/>
        <v>2020s</v>
      </c>
      <c r="K989">
        <f t="shared" si="76"/>
        <v>0.1825033099093594</v>
      </c>
      <c r="L989">
        <f t="shared" si="77"/>
        <v>0.72401847575057732</v>
      </c>
      <c r="M989">
        <f t="shared" si="78"/>
        <v>0.85106382978723405</v>
      </c>
      <c r="N989">
        <f t="shared" si="79"/>
        <v>0.58586187181572358</v>
      </c>
    </row>
    <row r="990" spans="1:14">
      <c r="A990" t="s">
        <v>34</v>
      </c>
      <c r="B990" t="s">
        <v>168</v>
      </c>
      <c r="C990">
        <v>2021</v>
      </c>
      <c r="D990" t="s">
        <v>85</v>
      </c>
      <c r="E990">
        <v>1872</v>
      </c>
      <c r="F990">
        <v>1696</v>
      </c>
      <c r="G990">
        <v>1.9</v>
      </c>
      <c r="H990" s="4">
        <v>2500000</v>
      </c>
      <c r="I990" s="8" t="str" cm="1">
        <f t="array" ref="I990">_xlfn.IFS(H990&lt;50000,"Under $50K", H990&lt;100000,"$50K–$100K",
     H990&lt;200000,"$100K–$200K", H990&lt;500000,"$200K–$500K",
     H990&gt;=500000,"$500K+")</f>
        <v>$500K+</v>
      </c>
      <c r="J990" s="9" t="str">
        <f t="shared" si="75"/>
        <v>2020s</v>
      </c>
      <c r="K990">
        <f t="shared" si="76"/>
        <v>0.17221713005397699</v>
      </c>
      <c r="L990">
        <f t="shared" si="77"/>
        <v>0.97921478060046185</v>
      </c>
      <c r="M990">
        <f t="shared" si="78"/>
        <v>0.97872340425531923</v>
      </c>
      <c r="N990">
        <f t="shared" si="79"/>
        <v>0.71005177163658606</v>
      </c>
    </row>
    <row r="991" spans="1:14">
      <c r="A991" t="s">
        <v>27</v>
      </c>
      <c r="B991" t="s">
        <v>249</v>
      </c>
      <c r="C991">
        <v>2021</v>
      </c>
      <c r="D991">
        <v>3</v>
      </c>
      <c r="E991">
        <v>621</v>
      </c>
      <c r="F991">
        <v>538</v>
      </c>
      <c r="G991">
        <v>2.9</v>
      </c>
      <c r="H991" s="4">
        <v>210000</v>
      </c>
      <c r="I991" s="8" t="str" cm="1">
        <f t="array" ref="I991">_xlfn.IFS(H991&lt;50000,"Under $50K", H991&lt;100000,"$50K–$100K",
     H991&lt;200000,"$100K–$200K", H991&lt;500000,"$200K–$500K",
     H991&gt;=500000,"$500K+")</f>
        <v>$200K–$500K</v>
      </c>
      <c r="J991" s="9" t="str">
        <f t="shared" si="75"/>
        <v>2020s</v>
      </c>
      <c r="K991">
        <f t="shared" si="76"/>
        <v>4.4811080558101637E-2</v>
      </c>
      <c r="L991">
        <f t="shared" si="77"/>
        <v>0.31062355658198615</v>
      </c>
      <c r="M991">
        <f t="shared" si="78"/>
        <v>0.76595744680851063</v>
      </c>
      <c r="N991">
        <f t="shared" si="79"/>
        <v>0.37379736131619951</v>
      </c>
    </row>
    <row r="992" spans="1:14">
      <c r="A992" t="s">
        <v>36</v>
      </c>
      <c r="B992" t="s">
        <v>102</v>
      </c>
      <c r="C992">
        <v>2021</v>
      </c>
      <c r="D992">
        <v>2</v>
      </c>
      <c r="E992">
        <v>300</v>
      </c>
      <c r="F992">
        <v>280</v>
      </c>
      <c r="G992">
        <v>5.0999999999999996</v>
      </c>
      <c r="H992" s="4">
        <v>59900</v>
      </c>
      <c r="I992" s="8" t="str" cm="1">
        <f t="array" ref="I992">_xlfn.IFS(H992&lt;50000,"Under $50K", H992&lt;100000,"$50K–$100K",
     H992&lt;200000,"$100K–$200K", H992&lt;500000,"$200K–$500K",
     H992&gt;=500000,"$500K+")</f>
        <v>$50K–$100K</v>
      </c>
      <c r="J992" s="9" t="str">
        <f t="shared" si="75"/>
        <v>2020s</v>
      </c>
      <c r="K992">
        <f t="shared" si="76"/>
        <v>1.2119360423668398E-2</v>
      </c>
      <c r="L992">
        <f t="shared" si="77"/>
        <v>0.16166281755196305</v>
      </c>
      <c r="M992">
        <f t="shared" si="78"/>
        <v>0.29787234042553201</v>
      </c>
      <c r="N992">
        <f t="shared" si="79"/>
        <v>0.15721817280038783</v>
      </c>
    </row>
    <row r="993" spans="1:14">
      <c r="A993" t="s">
        <v>24</v>
      </c>
      <c r="B993" t="s">
        <v>115</v>
      </c>
      <c r="C993">
        <v>2021</v>
      </c>
      <c r="D993">
        <v>6.5</v>
      </c>
      <c r="E993">
        <v>730</v>
      </c>
      <c r="F993">
        <v>509</v>
      </c>
      <c r="G993">
        <v>2.9</v>
      </c>
      <c r="H993" s="4">
        <v>393695</v>
      </c>
      <c r="I993" s="8" t="str" cm="1">
        <f t="array" ref="I993">_xlfn.IFS(H993&lt;50000,"Under $50K", H993&lt;100000,"$50K–$100K",
     H993&lt;200000,"$100K–$200K", H993&lt;500000,"$200K–$500K",
     H993&gt;=500000,"$500K+")</f>
        <v>$200K–$500K</v>
      </c>
      <c r="J993" s="9" t="str">
        <f t="shared" si="75"/>
        <v>2020s</v>
      </c>
      <c r="K993">
        <f t="shared" si="76"/>
        <v>5.5912007332722273E-2</v>
      </c>
      <c r="L993">
        <f t="shared" si="77"/>
        <v>0.29387990762124711</v>
      </c>
      <c r="M993">
        <f t="shared" si="78"/>
        <v>0.76595744680851063</v>
      </c>
      <c r="N993">
        <f t="shared" si="79"/>
        <v>0.37191645392082667</v>
      </c>
    </row>
    <row r="994" spans="1:14">
      <c r="A994" t="s">
        <v>19</v>
      </c>
      <c r="B994" t="s">
        <v>88</v>
      </c>
      <c r="C994">
        <v>2021</v>
      </c>
      <c r="D994">
        <v>4</v>
      </c>
      <c r="E994">
        <v>986</v>
      </c>
      <c r="F994">
        <v>590</v>
      </c>
      <c r="G994">
        <v>2.5</v>
      </c>
      <c r="H994" s="4">
        <v>625000</v>
      </c>
      <c r="I994" s="8" t="str" cm="1">
        <f t="array" ref="I994">_xlfn.IFS(H994&lt;50000,"Under $50K", H994&lt;100000,"$50K–$100K",
     H994&lt;200000,"$100K–$200K", H994&lt;500000,"$200K–$500K",
     H994&gt;=500000,"$500K+")</f>
        <v>$500K+</v>
      </c>
      <c r="J994" s="9" t="str">
        <f t="shared" si="75"/>
        <v>2020s</v>
      </c>
      <c r="K994">
        <f t="shared" si="76"/>
        <v>8.1983908748345047E-2</v>
      </c>
      <c r="L994">
        <f t="shared" si="77"/>
        <v>0.34064665127020788</v>
      </c>
      <c r="M994">
        <f t="shared" si="78"/>
        <v>0.85106382978723405</v>
      </c>
      <c r="N994">
        <f t="shared" si="79"/>
        <v>0.42456479660192903</v>
      </c>
    </row>
    <row r="995" spans="1:14">
      <c r="A995" t="s">
        <v>13</v>
      </c>
      <c r="B995" t="s">
        <v>185</v>
      </c>
      <c r="C995">
        <v>2021</v>
      </c>
      <c r="D995">
        <v>2.9</v>
      </c>
      <c r="E995">
        <v>444</v>
      </c>
      <c r="F995">
        <v>443</v>
      </c>
      <c r="G995">
        <v>3.5</v>
      </c>
      <c r="H995" s="4">
        <v>75100</v>
      </c>
      <c r="I995" s="8" t="str" cm="1">
        <f t="array" ref="I995">_xlfn.IFS(H995&lt;50000,"Under $50K", H995&lt;100000,"$50K–$100K",
     H995&lt;200000,"$100K–$200K", H995&lt;500000,"$200K–$500K",
     H995&gt;=500000,"$500K+")</f>
        <v>$50K–$100K</v>
      </c>
      <c r="J995" s="9" t="str">
        <f t="shared" si="75"/>
        <v>2020s</v>
      </c>
      <c r="K995">
        <f t="shared" si="76"/>
        <v>2.6784804969956208E-2</v>
      </c>
      <c r="L995">
        <f t="shared" si="77"/>
        <v>0.25577367205542723</v>
      </c>
      <c r="M995">
        <f t="shared" si="78"/>
        <v>0.63829787234042556</v>
      </c>
      <c r="N995">
        <f t="shared" si="79"/>
        <v>0.30695211645526971</v>
      </c>
    </row>
    <row r="996" spans="1:14">
      <c r="A996" t="s">
        <v>29</v>
      </c>
      <c r="B996" t="s">
        <v>92</v>
      </c>
      <c r="C996">
        <v>2022</v>
      </c>
      <c r="D996">
        <v>4</v>
      </c>
      <c r="E996">
        <v>612</v>
      </c>
      <c r="F996">
        <v>465</v>
      </c>
      <c r="G996">
        <v>3.1</v>
      </c>
      <c r="H996" s="4">
        <v>210000</v>
      </c>
      <c r="I996" s="8" t="str" cm="1">
        <f t="array" ref="I996">_xlfn.IFS(H996&lt;50000,"Under $50K", H996&lt;100000,"$50K–$100K",
     H996&lt;200000,"$100K–$200K", H996&lt;500000,"$200K–$500K",
     H996&gt;=500000,"$500K+")</f>
        <v>$200K–$500K</v>
      </c>
      <c r="J996" s="9" t="str">
        <f t="shared" si="75"/>
        <v>2020s</v>
      </c>
      <c r="K996">
        <f t="shared" si="76"/>
        <v>4.3894490273958649E-2</v>
      </c>
      <c r="L996">
        <f t="shared" si="77"/>
        <v>0.26847575057736722</v>
      </c>
      <c r="M996">
        <f t="shared" si="78"/>
        <v>0.72340425531914887</v>
      </c>
      <c r="N996">
        <f t="shared" si="79"/>
        <v>0.34525816539015824</v>
      </c>
    </row>
    <row r="997" spans="1:14">
      <c r="A997" t="s">
        <v>15</v>
      </c>
      <c r="B997" t="s">
        <v>113</v>
      </c>
      <c r="C997">
        <v>2021</v>
      </c>
      <c r="D997">
        <v>3</v>
      </c>
      <c r="E997">
        <v>405</v>
      </c>
      <c r="F997">
        <v>406</v>
      </c>
      <c r="G997">
        <v>4</v>
      </c>
      <c r="H997" s="4">
        <v>58900</v>
      </c>
      <c r="I997" s="8" t="str" cm="1">
        <f t="array" ref="I997">_xlfn.IFS(H997&lt;50000,"Under $50K", H997&lt;100000,"$50K–$100K",
     H997&lt;200000,"$100K–$200K", H997&lt;500000,"$200K–$500K",
     H997&gt;=500000,"$500K+")</f>
        <v>$50K–$100K</v>
      </c>
      <c r="J997" s="9" t="str">
        <f t="shared" si="75"/>
        <v>2020s</v>
      </c>
      <c r="K997">
        <f t="shared" si="76"/>
        <v>2.2812913738669924E-2</v>
      </c>
      <c r="L997">
        <f t="shared" si="77"/>
        <v>0.23441108545034642</v>
      </c>
      <c r="M997">
        <f t="shared" si="78"/>
        <v>0.53191489361702127</v>
      </c>
      <c r="N997">
        <f t="shared" si="79"/>
        <v>0.26304629760201254</v>
      </c>
    </row>
    <row r="998" spans="1:14">
      <c r="A998" t="s">
        <v>31</v>
      </c>
      <c r="B998" t="s">
        <v>82</v>
      </c>
      <c r="C998">
        <v>2021</v>
      </c>
      <c r="D998">
        <v>6.3</v>
      </c>
      <c r="E998">
        <v>622</v>
      </c>
      <c r="F998">
        <v>468</v>
      </c>
      <c r="G998">
        <v>3.6</v>
      </c>
      <c r="H998" s="4">
        <v>254500</v>
      </c>
      <c r="I998" s="8" t="str" cm="1">
        <f t="array" ref="I998">_xlfn.IFS(H998&lt;50000,"Under $50K", H998&lt;100000,"$50K–$100K",
     H998&lt;200000,"$100K–$200K", H998&lt;500000,"$200K–$500K",
     H998&gt;=500000,"$500K+")</f>
        <v>$200K–$500K</v>
      </c>
      <c r="J998" s="9" t="str">
        <f t="shared" si="75"/>
        <v>2020s</v>
      </c>
      <c r="K998">
        <f t="shared" si="76"/>
        <v>4.4912923923006415E-2</v>
      </c>
      <c r="L998">
        <f t="shared" si="77"/>
        <v>0.2702078521939954</v>
      </c>
      <c r="M998">
        <f t="shared" si="78"/>
        <v>0.61702127659574468</v>
      </c>
      <c r="N998">
        <f t="shared" si="79"/>
        <v>0.31071401757091549</v>
      </c>
    </row>
    <row r="999" spans="1:14">
      <c r="A999" t="s">
        <v>17</v>
      </c>
      <c r="B999" t="s">
        <v>215</v>
      </c>
      <c r="C999">
        <v>2021</v>
      </c>
      <c r="D999">
        <v>6.2</v>
      </c>
      <c r="E999">
        <v>455</v>
      </c>
      <c r="F999">
        <v>455</v>
      </c>
      <c r="G999">
        <v>4</v>
      </c>
      <c r="H999" s="4">
        <v>25000</v>
      </c>
      <c r="I999" s="8" t="str" cm="1">
        <f t="array" ref="I999">_xlfn.IFS(H999&lt;50000,"Under $50K", H999&lt;100000,"$50K–$100K",
     H999&lt;200000,"$100K–$200K", H999&lt;500000,"$200K–$500K",
     H999&gt;=500000,"$500K+")</f>
        <v>Under $50K</v>
      </c>
      <c r="J999" s="9" t="str">
        <f t="shared" si="75"/>
        <v>2020s</v>
      </c>
      <c r="K999">
        <f t="shared" si="76"/>
        <v>2.7905081983908748E-2</v>
      </c>
      <c r="L999">
        <f t="shared" si="77"/>
        <v>0.26270207852193994</v>
      </c>
      <c r="M999">
        <f t="shared" si="78"/>
        <v>0.53191489361702127</v>
      </c>
      <c r="N999">
        <f t="shared" si="79"/>
        <v>0.27417401804095665</v>
      </c>
    </row>
    <row r="1000" spans="1:14">
      <c r="A1000" t="s">
        <v>20</v>
      </c>
      <c r="B1000" t="s">
        <v>250</v>
      </c>
      <c r="C1000">
        <v>2021</v>
      </c>
      <c r="D1000">
        <v>2.2999999999999998</v>
      </c>
      <c r="E1000">
        <v>310</v>
      </c>
      <c r="F1000">
        <v>350</v>
      </c>
      <c r="G1000">
        <v>5.3</v>
      </c>
      <c r="H1000" s="4">
        <v>27205</v>
      </c>
      <c r="I1000" s="8" t="str" cm="1">
        <f t="array" ref="I1000">_xlfn.IFS(H1000&lt;50000,"Under $50K", H1000&lt;100000,"$50K–$100K",
     H1000&lt;200000,"$100K–$200K", H1000&lt;500000,"$200K–$500K",
     H1000&gt;=500000,"$500K+")</f>
        <v>Under $50K</v>
      </c>
      <c r="J1000" s="9" t="str">
        <f t="shared" si="75"/>
        <v>2020s</v>
      </c>
      <c r="K1000">
        <f t="shared" si="76"/>
        <v>1.3137794072716162E-2</v>
      </c>
      <c r="L1000">
        <f t="shared" si="77"/>
        <v>0.20207852193995382</v>
      </c>
      <c r="M1000">
        <f t="shared" si="78"/>
        <v>0.25531914893617025</v>
      </c>
      <c r="N1000">
        <f t="shared" si="79"/>
        <v>0.15684515498294674</v>
      </c>
    </row>
    <row r="1001" spans="1:14">
      <c r="A1001" t="s">
        <v>32</v>
      </c>
      <c r="B1001" t="s">
        <v>117</v>
      </c>
      <c r="C1001">
        <v>2021</v>
      </c>
      <c r="D1001">
        <v>3.7</v>
      </c>
      <c r="E1001">
        <v>332</v>
      </c>
      <c r="F1001">
        <v>270</v>
      </c>
      <c r="G1001">
        <v>5.0999999999999996</v>
      </c>
      <c r="H1001" s="4">
        <v>30090</v>
      </c>
      <c r="I1001" s="8" t="str" cm="1">
        <f t="array" ref="I1001">_xlfn.IFS(H1001&lt;50000,"Under $50K", H1001&lt;100000,"$50K–$100K",
     H1001&lt;200000,"$100K–$200K", H1001&lt;500000,"$200K–$500K",
     H1001&gt;=500000,"$500K+")</f>
        <v>Under $50K</v>
      </c>
      <c r="J1001" s="9" t="str">
        <f t="shared" si="75"/>
        <v>2020s</v>
      </c>
      <c r="K1001">
        <f t="shared" si="76"/>
        <v>1.5378348100621244E-2</v>
      </c>
      <c r="L1001">
        <f t="shared" si="77"/>
        <v>0.15588914549653579</v>
      </c>
      <c r="M1001">
        <f t="shared" si="78"/>
        <v>0.29787234042553201</v>
      </c>
      <c r="N1001">
        <f t="shared" si="79"/>
        <v>0.15637994467422969</v>
      </c>
    </row>
    <row r="1002" spans="1:14">
      <c r="A1002" t="s">
        <v>12</v>
      </c>
      <c r="B1002" t="s">
        <v>107</v>
      </c>
      <c r="C1002">
        <v>2021</v>
      </c>
      <c r="D1002">
        <v>4</v>
      </c>
      <c r="E1002">
        <v>503</v>
      </c>
      <c r="F1002">
        <v>505</v>
      </c>
      <c r="G1002">
        <v>3.6</v>
      </c>
      <c r="H1002" s="4">
        <v>146000</v>
      </c>
      <c r="I1002" s="8" t="str" cm="1">
        <f t="array" ref="I1002">_xlfn.IFS(H1002&lt;50000,"Under $50K", H1002&lt;100000,"$50K–$100K",
     H1002&lt;200000,"$100K–$200K", H1002&lt;500000,"$200K–$500K",
     H1002&gt;=500000,"$500K+")</f>
        <v>$100K–$200K</v>
      </c>
      <c r="J1002" s="9" t="str">
        <f t="shared" si="75"/>
        <v>2020s</v>
      </c>
      <c r="K1002">
        <f t="shared" si="76"/>
        <v>3.279356349933802E-2</v>
      </c>
      <c r="L1002">
        <f t="shared" si="77"/>
        <v>0.29157043879907624</v>
      </c>
      <c r="M1002">
        <f t="shared" si="78"/>
        <v>0.61702127659574468</v>
      </c>
      <c r="N1002">
        <f t="shared" si="79"/>
        <v>0.31379509296471969</v>
      </c>
    </row>
    <row r="1003" spans="1:14">
      <c r="A1003" t="s">
        <v>16</v>
      </c>
      <c r="B1003" t="s">
        <v>70</v>
      </c>
      <c r="C1003">
        <v>2021</v>
      </c>
      <c r="D1003">
        <v>8</v>
      </c>
      <c r="E1003">
        <v>1479</v>
      </c>
      <c r="F1003">
        <v>1180</v>
      </c>
      <c r="G1003">
        <v>2.4</v>
      </c>
      <c r="H1003" s="4">
        <v>3000000</v>
      </c>
      <c r="I1003" s="8" t="str" cm="1">
        <f t="array" ref="I1003">_xlfn.IFS(H1003&lt;50000,"Under $50K", H1003&lt;100000,"$50K–$100K",
     H1003&lt;200000,"$100K–$200K", H1003&lt;500000,"$200K–$500K",
     H1003&gt;=500000,"$500K+")</f>
        <v>$500K+</v>
      </c>
      <c r="J1003" s="9" t="str">
        <f t="shared" si="75"/>
        <v>2020s</v>
      </c>
      <c r="K1003">
        <f t="shared" si="76"/>
        <v>0.13219268764639983</v>
      </c>
      <c r="L1003">
        <f t="shared" si="77"/>
        <v>0.68129330254041576</v>
      </c>
      <c r="M1003">
        <f t="shared" si="78"/>
        <v>0.87234042553191493</v>
      </c>
      <c r="N1003">
        <f t="shared" si="79"/>
        <v>0.5619421385729102</v>
      </c>
    </row>
    <row r="1004" spans="1:14">
      <c r="A1004" t="s">
        <v>23</v>
      </c>
      <c r="B1004" t="s">
        <v>73</v>
      </c>
      <c r="C1004">
        <v>2022</v>
      </c>
      <c r="D1004">
        <v>5</v>
      </c>
      <c r="E1004">
        <v>1280</v>
      </c>
      <c r="F1004">
        <v>1106</v>
      </c>
      <c r="G1004">
        <v>2.5</v>
      </c>
      <c r="H1004" s="4">
        <v>3000000</v>
      </c>
      <c r="I1004" s="8" t="str" cm="1">
        <f t="array" ref="I1004">_xlfn.IFS(H1004&lt;50000,"Under $50K", H1004&lt;100000,"$50K–$100K",
     H1004&lt;200000,"$100K–$200K", H1004&lt;500000,"$200K–$500K",
     H1004&gt;=500000,"$500K+")</f>
        <v>$500K+</v>
      </c>
      <c r="J1004" s="9" t="str">
        <f t="shared" si="75"/>
        <v>2020s</v>
      </c>
      <c r="K1004">
        <f t="shared" si="76"/>
        <v>0.11192585803034932</v>
      </c>
      <c r="L1004">
        <f t="shared" si="77"/>
        <v>0.63856812933025409</v>
      </c>
      <c r="M1004">
        <f t="shared" si="78"/>
        <v>0.85106382978723405</v>
      </c>
      <c r="N1004">
        <f t="shared" si="79"/>
        <v>0.53385260571594584</v>
      </c>
    </row>
    <row r="1005" spans="1:14">
      <c r="A1005" t="s">
        <v>26</v>
      </c>
      <c r="B1005" t="s">
        <v>191</v>
      </c>
      <c r="C1005">
        <v>2021</v>
      </c>
      <c r="D1005" t="s">
        <v>95</v>
      </c>
      <c r="E1005">
        <v>1972</v>
      </c>
      <c r="F1005">
        <v>1254</v>
      </c>
      <c r="G1005">
        <v>2</v>
      </c>
      <c r="H1005" s="4">
        <v>2000000</v>
      </c>
      <c r="I1005" s="8" t="str" cm="1">
        <f t="array" ref="I1005">_xlfn.IFS(H1005&lt;50000,"Under $50K", H1005&lt;100000,"$50K–$100K",
     H1005&lt;200000,"$100K–$200K", H1005&lt;500000,"$200K–$500K",
     H1005&gt;=500000,"$500K+")</f>
        <v>$500K+</v>
      </c>
      <c r="J1005" s="9" t="str">
        <f t="shared" si="75"/>
        <v>2020s</v>
      </c>
      <c r="K1005">
        <f t="shared" si="76"/>
        <v>0.18240146654445463</v>
      </c>
      <c r="L1005">
        <f t="shared" si="77"/>
        <v>0.72401847575057732</v>
      </c>
      <c r="M1005">
        <f t="shared" si="78"/>
        <v>0.95744680851063835</v>
      </c>
      <c r="N1005">
        <f t="shared" si="79"/>
        <v>0.62128891693522348</v>
      </c>
    </row>
    <row r="1006" spans="1:14">
      <c r="A1006" t="s">
        <v>29</v>
      </c>
      <c r="B1006" t="s">
        <v>208</v>
      </c>
      <c r="C1006">
        <v>2021</v>
      </c>
      <c r="D1006">
        <v>4</v>
      </c>
      <c r="E1006">
        <v>789</v>
      </c>
      <c r="F1006">
        <v>590</v>
      </c>
      <c r="G1006">
        <v>2.7</v>
      </c>
      <c r="H1006" s="4">
        <v>1000000</v>
      </c>
      <c r="I1006" s="8" t="str" cm="1">
        <f t="array" ref="I1006">_xlfn.IFS(H1006&lt;50000,"Under $50K", H1006&lt;100000,"$50K–$100K",
     H1006&lt;200000,"$100K–$200K", H1006&lt;500000,"$200K–$500K",
     H1006&gt;=500000,"$500K+")</f>
        <v>$500K+</v>
      </c>
      <c r="J1006" s="9" t="str">
        <f t="shared" si="75"/>
        <v>2020s</v>
      </c>
      <c r="K1006">
        <f t="shared" si="76"/>
        <v>6.1920765862104085E-2</v>
      </c>
      <c r="L1006">
        <f t="shared" si="77"/>
        <v>0.34064665127020788</v>
      </c>
      <c r="M1006">
        <f t="shared" si="78"/>
        <v>0.80851063829787229</v>
      </c>
      <c r="N1006">
        <f t="shared" si="79"/>
        <v>0.40369268514339479</v>
      </c>
    </row>
    <row r="1007" spans="1:14">
      <c r="A1007" t="s">
        <v>33</v>
      </c>
      <c r="B1007" t="s">
        <v>83</v>
      </c>
      <c r="C1007">
        <v>2021</v>
      </c>
      <c r="D1007">
        <v>6</v>
      </c>
      <c r="E1007">
        <v>764</v>
      </c>
      <c r="F1007">
        <v>738</v>
      </c>
      <c r="G1007">
        <v>3</v>
      </c>
      <c r="H1007" s="4">
        <v>2600000</v>
      </c>
      <c r="I1007" s="8" t="str" cm="1">
        <f t="array" ref="I1007">_xlfn.IFS(H1007&lt;50000,"Under $50K", H1007&lt;100000,"$50K–$100K",
     H1007&lt;200000,"$100K–$200K", H1007&lt;500000,"$200K–$500K",
     H1007&gt;=500000,"$500K+")</f>
        <v>$500K+</v>
      </c>
      <c r="J1007" s="9" t="str">
        <f t="shared" si="75"/>
        <v>2020s</v>
      </c>
      <c r="K1007">
        <f t="shared" si="76"/>
        <v>5.9374681739484673E-2</v>
      </c>
      <c r="L1007">
        <f t="shared" si="77"/>
        <v>0.42609699769053117</v>
      </c>
      <c r="M1007">
        <f t="shared" si="78"/>
        <v>0.74468085106382986</v>
      </c>
      <c r="N1007">
        <f t="shared" si="79"/>
        <v>0.41005084349794857</v>
      </c>
    </row>
    <row r="1008" spans="1:14">
      <c r="A1008" t="s">
        <v>37</v>
      </c>
      <c r="B1008" t="s">
        <v>84</v>
      </c>
      <c r="C1008">
        <v>2021</v>
      </c>
      <c r="D1008" t="s">
        <v>95</v>
      </c>
      <c r="E1008">
        <v>1888</v>
      </c>
      <c r="F1008">
        <v>1696</v>
      </c>
      <c r="G1008">
        <v>1.85</v>
      </c>
      <c r="H1008" s="4">
        <v>2400000</v>
      </c>
      <c r="I1008" s="8" t="str" cm="1">
        <f t="array" ref="I1008">_xlfn.IFS(H1008&lt;50000,"Under $50K", H1008&lt;100000,"$50K–$100K",
     H1008&lt;200000,"$100K–$200K", H1008&lt;500000,"$200K–$500K",
     H1008&gt;=500000,"$500K+")</f>
        <v>$500K+</v>
      </c>
      <c r="J1008" s="9" t="str">
        <f t="shared" si="75"/>
        <v>2020s</v>
      </c>
      <c r="K1008">
        <f t="shared" si="76"/>
        <v>0.17384662389245339</v>
      </c>
      <c r="L1008">
        <f t="shared" si="77"/>
        <v>0.97921478060046185</v>
      </c>
      <c r="M1008">
        <f t="shared" si="78"/>
        <v>0.98936170212765961</v>
      </c>
      <c r="N1008">
        <f t="shared" si="79"/>
        <v>0.7141410355401917</v>
      </c>
    </row>
  </sheetData>
  <autoFilter ref="A1:H1008" xr:uid="{77B62383-3DE5-49C0-8ADE-8275933D53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2026-05-12T19:34:05Z</dcterms:created>
  <dcterms:modified xsi:type="dcterms:W3CDTF">2026-05-25T15:05:45Z</dcterms:modified>
  <cp:category/>
  <cp:contentStatus/>
</cp:coreProperties>
</file>